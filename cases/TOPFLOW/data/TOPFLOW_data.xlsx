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erix\Desktop\"/>
    </mc:Choice>
  </mc:AlternateContent>
  <xr:revisionPtr revIDLastSave="0" documentId="13_ncr:1_{4D53A268-FA49-4EE8-B70A-E79C564366DB}" xr6:coauthVersionLast="47" xr6:coauthVersionMax="47" xr10:uidLastSave="{00000000-0000-0000-0000-000000000000}"/>
  <bookViews>
    <workbookView xWindow="1050" yWindow="-120" windowWidth="27870" windowHeight="16440" xr2:uid="{482A2D85-CC63-496D-8C79-8ED7C42FAE97}"/>
  </bookViews>
  <sheets>
    <sheet name="Void" sheetId="2" r:id="rId1"/>
    <sheet name="Siz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68" i="3" l="1"/>
  <c r="AO69" i="3" s="1"/>
  <c r="AH69" i="3"/>
  <c r="AH68" i="3"/>
  <c r="AA68" i="3"/>
  <c r="AA69" i="3" s="1"/>
  <c r="T69" i="3"/>
  <c r="T68" i="3"/>
  <c r="M68" i="3"/>
  <c r="M69" i="3" s="1"/>
  <c r="F69" i="3"/>
  <c r="F68" i="3"/>
  <c r="AO67" i="3"/>
  <c r="AH67" i="3"/>
  <c r="AA67" i="3"/>
  <c r="T67" i="3"/>
  <c r="M67" i="3"/>
  <c r="F67" i="3"/>
  <c r="AL6" i="3"/>
  <c r="AM6" i="3" s="1"/>
  <c r="AN6" i="3" s="1"/>
  <c r="AO6" i="3" s="1"/>
  <c r="AL7" i="3"/>
  <c r="AM7" i="3" s="1"/>
  <c r="AN7" i="3" s="1"/>
  <c r="AO7" i="3" s="1"/>
  <c r="AL8" i="3"/>
  <c r="AL9" i="3"/>
  <c r="AL10" i="3"/>
  <c r="AL11" i="3"/>
  <c r="AL12" i="3"/>
  <c r="AL13" i="3"/>
  <c r="AM13" i="3" s="1"/>
  <c r="AN13" i="3" s="1"/>
  <c r="AO13" i="3" s="1"/>
  <c r="AL14" i="3"/>
  <c r="AM14" i="3" s="1"/>
  <c r="AN14" i="3" s="1"/>
  <c r="AO14" i="3" s="1"/>
  <c r="AL15" i="3"/>
  <c r="AM15" i="3" s="1"/>
  <c r="AL16" i="3"/>
  <c r="AM16" i="3" s="1"/>
  <c r="AL17" i="3"/>
  <c r="AL18" i="3"/>
  <c r="AM18" i="3" s="1"/>
  <c r="AN18" i="3" s="1"/>
  <c r="AO18" i="3" s="1"/>
  <c r="AL19" i="3"/>
  <c r="AM19" i="3" s="1"/>
  <c r="AN19" i="3" s="1"/>
  <c r="AO19" i="3" s="1"/>
  <c r="AL20" i="3"/>
  <c r="AL21" i="3"/>
  <c r="AL22" i="3"/>
  <c r="AL23" i="3"/>
  <c r="AL24" i="3"/>
  <c r="AL25" i="3"/>
  <c r="AM25" i="3" s="1"/>
  <c r="AN25" i="3" s="1"/>
  <c r="AO25" i="3" s="1"/>
  <c r="AL26" i="3"/>
  <c r="AM26" i="3" s="1"/>
  <c r="AN26" i="3" s="1"/>
  <c r="AO26" i="3" s="1"/>
  <c r="AL27" i="3"/>
  <c r="AM27" i="3" s="1"/>
  <c r="AL28" i="3"/>
  <c r="AM28" i="3" s="1"/>
  <c r="AL29" i="3"/>
  <c r="AL30" i="3"/>
  <c r="AM30" i="3" s="1"/>
  <c r="AN30" i="3" s="1"/>
  <c r="AO30" i="3" s="1"/>
  <c r="AL31" i="3"/>
  <c r="AM31" i="3" s="1"/>
  <c r="AN31" i="3" s="1"/>
  <c r="AO31" i="3" s="1"/>
  <c r="AL32" i="3"/>
  <c r="AL33" i="3"/>
  <c r="AL34" i="3"/>
  <c r="AL35" i="3"/>
  <c r="AL36" i="3"/>
  <c r="AL37" i="3"/>
  <c r="AM37" i="3" s="1"/>
  <c r="AN37" i="3" s="1"/>
  <c r="AO37" i="3" s="1"/>
  <c r="AL38" i="3"/>
  <c r="AM38" i="3" s="1"/>
  <c r="AN38" i="3" s="1"/>
  <c r="AO38" i="3" s="1"/>
  <c r="AL39" i="3"/>
  <c r="AM39" i="3" s="1"/>
  <c r="AL40" i="3"/>
  <c r="AM40" i="3" s="1"/>
  <c r="AL41" i="3"/>
  <c r="AL42" i="3"/>
  <c r="AM42" i="3" s="1"/>
  <c r="AN42" i="3" s="1"/>
  <c r="AO42" i="3" s="1"/>
  <c r="AL43" i="3"/>
  <c r="AM43" i="3" s="1"/>
  <c r="AN43" i="3" s="1"/>
  <c r="AO43" i="3" s="1"/>
  <c r="AL44" i="3"/>
  <c r="AL45" i="3"/>
  <c r="AL46" i="3"/>
  <c r="AL47" i="3"/>
  <c r="AL5" i="3"/>
  <c r="AE6" i="3"/>
  <c r="AF6" i="3" s="1"/>
  <c r="AE7" i="3"/>
  <c r="AE8" i="3"/>
  <c r="AE9" i="3"/>
  <c r="AF9" i="3" s="1"/>
  <c r="AG9" i="3" s="1"/>
  <c r="AH9" i="3" s="1"/>
  <c r="AE10" i="3"/>
  <c r="AE11" i="3"/>
  <c r="AE12" i="3"/>
  <c r="AE13" i="3"/>
  <c r="AF13" i="3" s="1"/>
  <c r="AE14" i="3"/>
  <c r="AF14" i="3" s="1"/>
  <c r="AE15" i="3"/>
  <c r="AF15" i="3" s="1"/>
  <c r="AG15" i="3" s="1"/>
  <c r="AH15" i="3" s="1"/>
  <c r="AE16" i="3"/>
  <c r="AE17" i="3"/>
  <c r="AE18" i="3"/>
  <c r="AF18" i="3" s="1"/>
  <c r="AE19" i="3"/>
  <c r="AE20" i="3"/>
  <c r="AE21" i="3"/>
  <c r="AE22" i="3"/>
  <c r="AE23" i="3"/>
  <c r="AE24" i="3"/>
  <c r="AE25" i="3"/>
  <c r="AF25" i="3" s="1"/>
  <c r="AE26" i="3"/>
  <c r="AF26" i="3" s="1"/>
  <c r="AE27" i="3"/>
  <c r="AF27" i="3" s="1"/>
  <c r="AG27" i="3" s="1"/>
  <c r="AH27" i="3" s="1"/>
  <c r="AE28" i="3"/>
  <c r="AE29" i="3"/>
  <c r="AE30" i="3"/>
  <c r="AF30" i="3" s="1"/>
  <c r="AE31" i="3"/>
  <c r="AE32" i="3"/>
  <c r="AE33" i="3"/>
  <c r="AE34" i="3"/>
  <c r="AE35" i="3"/>
  <c r="AE36" i="3"/>
  <c r="AE37" i="3"/>
  <c r="AF37" i="3" s="1"/>
  <c r="AE38" i="3"/>
  <c r="AF38" i="3" s="1"/>
  <c r="AE39" i="3"/>
  <c r="AF39" i="3" s="1"/>
  <c r="AG39" i="3" s="1"/>
  <c r="AH39" i="3" s="1"/>
  <c r="AE40" i="3"/>
  <c r="AE41" i="3"/>
  <c r="AE42" i="3"/>
  <c r="AF42" i="3" s="1"/>
  <c r="AE43" i="3"/>
  <c r="AE44" i="3"/>
  <c r="AE45" i="3"/>
  <c r="AE46" i="3"/>
  <c r="AE47" i="3"/>
  <c r="AE48" i="3"/>
  <c r="AE49" i="3"/>
  <c r="AF49" i="3" s="1"/>
  <c r="AE50" i="3"/>
  <c r="AF50" i="3" s="1"/>
  <c r="AE51" i="3"/>
  <c r="AF51" i="3" s="1"/>
  <c r="AG51" i="3" s="1"/>
  <c r="AH51" i="3" s="1"/>
  <c r="AE52" i="3"/>
  <c r="AE53" i="3"/>
  <c r="AE5" i="3"/>
  <c r="X6" i="3"/>
  <c r="X7" i="3"/>
  <c r="X8" i="3"/>
  <c r="X9" i="3"/>
  <c r="X10" i="3"/>
  <c r="X11" i="3"/>
  <c r="X12" i="3"/>
  <c r="Y12" i="3" s="1"/>
  <c r="X13" i="3"/>
  <c r="Y13" i="3" s="1"/>
  <c r="X14" i="3"/>
  <c r="Y14" i="3" s="1"/>
  <c r="Z14" i="3" s="1"/>
  <c r="AA14" i="3" s="1"/>
  <c r="X15" i="3"/>
  <c r="Y15" i="3" s="1"/>
  <c r="Z15" i="3" s="1"/>
  <c r="AA15" i="3" s="1"/>
  <c r="X16" i="3"/>
  <c r="Y16" i="3" s="1"/>
  <c r="Z16" i="3" s="1"/>
  <c r="AA16" i="3" s="1"/>
  <c r="X17" i="3"/>
  <c r="X18" i="3"/>
  <c r="X19" i="3"/>
  <c r="X20" i="3"/>
  <c r="X21" i="3"/>
  <c r="X22" i="3"/>
  <c r="X23" i="3"/>
  <c r="Y23" i="3" s="1"/>
  <c r="X24" i="3"/>
  <c r="Y24" i="3" s="1"/>
  <c r="X25" i="3"/>
  <c r="Y25" i="3" s="1"/>
  <c r="X26" i="3"/>
  <c r="Y26" i="3" s="1"/>
  <c r="X27" i="3"/>
  <c r="Y27" i="3" s="1"/>
  <c r="Z27" i="3" s="1"/>
  <c r="AA27" i="3" s="1"/>
  <c r="X28" i="3"/>
  <c r="Y28" i="3" s="1"/>
  <c r="Z28" i="3" s="1"/>
  <c r="AA28" i="3" s="1"/>
  <c r="X29" i="3"/>
  <c r="X30" i="3"/>
  <c r="X31" i="3"/>
  <c r="X32" i="3"/>
  <c r="X33" i="3"/>
  <c r="X34" i="3"/>
  <c r="X35" i="3"/>
  <c r="X36" i="3"/>
  <c r="Y36" i="3" s="1"/>
  <c r="X37" i="3"/>
  <c r="Y37" i="3" s="1"/>
  <c r="X38" i="3"/>
  <c r="Y38" i="3" s="1"/>
  <c r="X39" i="3"/>
  <c r="Y39" i="3" s="1"/>
  <c r="Z39" i="3" s="1"/>
  <c r="AA39" i="3" s="1"/>
  <c r="X5" i="3"/>
  <c r="Q6" i="3"/>
  <c r="Q7" i="3"/>
  <c r="Q8" i="3"/>
  <c r="Q9" i="3"/>
  <c r="Q10" i="3"/>
  <c r="Q11" i="3"/>
  <c r="R11" i="3" s="1"/>
  <c r="Q12" i="3"/>
  <c r="R12" i="3" s="1"/>
  <c r="Q13" i="3"/>
  <c r="R13" i="3" s="1"/>
  <c r="Q14" i="3"/>
  <c r="R14" i="3" s="1"/>
  <c r="Q15" i="3"/>
  <c r="R15" i="3" s="1"/>
  <c r="S15" i="3" s="1"/>
  <c r="T15" i="3" s="1"/>
  <c r="Q16" i="3"/>
  <c r="R16" i="3" s="1"/>
  <c r="S16" i="3" s="1"/>
  <c r="T16" i="3" s="1"/>
  <c r="Q17" i="3"/>
  <c r="Q18" i="3"/>
  <c r="Q19" i="3"/>
  <c r="Q20" i="3"/>
  <c r="Q21" i="3"/>
  <c r="Q22" i="3"/>
  <c r="Q23" i="3"/>
  <c r="R23" i="3" s="1"/>
  <c r="S23" i="3" s="1"/>
  <c r="T23" i="3" s="1"/>
  <c r="Q24" i="3"/>
  <c r="R24" i="3" s="1"/>
  <c r="Q25" i="3"/>
  <c r="R25" i="3" s="1"/>
  <c r="Q26" i="3"/>
  <c r="R26" i="3" s="1"/>
  <c r="Q27" i="3"/>
  <c r="R27" i="3" s="1"/>
  <c r="S27" i="3" s="1"/>
  <c r="T27" i="3" s="1"/>
  <c r="Q28" i="3"/>
  <c r="R28" i="3" s="1"/>
  <c r="S28" i="3" s="1"/>
  <c r="T28" i="3" s="1"/>
  <c r="Q29" i="3"/>
  <c r="Q30" i="3"/>
  <c r="Q31" i="3"/>
  <c r="Q32" i="3"/>
  <c r="Q33" i="3"/>
  <c r="Q34" i="3"/>
  <c r="Q35" i="3"/>
  <c r="R35" i="3" s="1"/>
  <c r="Q36" i="3"/>
  <c r="R36" i="3" s="1"/>
  <c r="Q37" i="3"/>
  <c r="R37" i="3" s="1"/>
  <c r="Q38" i="3"/>
  <c r="R38" i="3" s="1"/>
  <c r="Q39" i="3"/>
  <c r="R39" i="3" s="1"/>
  <c r="S39" i="3" s="1"/>
  <c r="T39" i="3" s="1"/>
  <c r="Q40" i="3"/>
  <c r="R40" i="3" s="1"/>
  <c r="S40" i="3" s="1"/>
  <c r="T40" i="3" s="1"/>
  <c r="Q41" i="3"/>
  <c r="Q42" i="3"/>
  <c r="Q43" i="3"/>
  <c r="Q44" i="3"/>
  <c r="Q45" i="3"/>
  <c r="Q46" i="3"/>
  <c r="Q47" i="3"/>
  <c r="R47" i="3" s="1"/>
  <c r="S47" i="3" s="1"/>
  <c r="T47" i="3" s="1"/>
  <c r="Q48" i="3"/>
  <c r="R48" i="3" s="1"/>
  <c r="Q49" i="3"/>
  <c r="R49" i="3" s="1"/>
  <c r="Q50" i="3"/>
  <c r="R50" i="3" s="1"/>
  <c r="Q51" i="3"/>
  <c r="R51" i="3" s="1"/>
  <c r="S51" i="3" s="1"/>
  <c r="T51" i="3" s="1"/>
  <c r="Q52" i="3"/>
  <c r="R52" i="3" s="1"/>
  <c r="S52" i="3" s="1"/>
  <c r="T52" i="3" s="1"/>
  <c r="Q53" i="3"/>
  <c r="Q54" i="3"/>
  <c r="Q55" i="3"/>
  <c r="Q56" i="3"/>
  <c r="Q57" i="3"/>
  <c r="Q58" i="3"/>
  <c r="Q59" i="3"/>
  <c r="R59" i="3" s="1"/>
  <c r="Q60" i="3"/>
  <c r="R60" i="3" s="1"/>
  <c r="S60" i="3" s="1"/>
  <c r="T60" i="3" s="1"/>
  <c r="Q61" i="3"/>
  <c r="R61" i="3" s="1"/>
  <c r="S61" i="3" s="1"/>
  <c r="T61" i="3" s="1"/>
  <c r="Q5" i="3"/>
  <c r="R5" i="3" s="1"/>
  <c r="J6" i="3"/>
  <c r="J7" i="3"/>
  <c r="J8" i="3"/>
  <c r="J9" i="3"/>
  <c r="K9" i="3" s="1"/>
  <c r="L9" i="3" s="1"/>
  <c r="M9" i="3" s="1"/>
  <c r="J10" i="3"/>
  <c r="K10" i="3" s="1"/>
  <c r="L10" i="3" s="1"/>
  <c r="M10" i="3" s="1"/>
  <c r="J11" i="3"/>
  <c r="J12" i="3"/>
  <c r="J13" i="3"/>
  <c r="J14" i="3"/>
  <c r="J15" i="3"/>
  <c r="J16" i="3"/>
  <c r="J17" i="3"/>
  <c r="J18" i="3"/>
  <c r="J19" i="3"/>
  <c r="J20" i="3"/>
  <c r="J21" i="3"/>
  <c r="K21" i="3" s="1"/>
  <c r="L21" i="3" s="1"/>
  <c r="M21" i="3" s="1"/>
  <c r="J22" i="3"/>
  <c r="K22" i="3" s="1"/>
  <c r="L22" i="3" s="1"/>
  <c r="M22" i="3" s="1"/>
  <c r="J23" i="3"/>
  <c r="J24" i="3"/>
  <c r="J25" i="3"/>
  <c r="J26" i="3"/>
  <c r="J27" i="3"/>
  <c r="J28" i="3"/>
  <c r="J29" i="3"/>
  <c r="J30" i="3"/>
  <c r="J31" i="3"/>
  <c r="J32" i="3"/>
  <c r="J33" i="3"/>
  <c r="K33" i="3" s="1"/>
  <c r="L33" i="3" s="1"/>
  <c r="M33" i="3" s="1"/>
  <c r="J34" i="3"/>
  <c r="K34" i="3" s="1"/>
  <c r="L34" i="3" s="1"/>
  <c r="M34" i="3" s="1"/>
  <c r="J35" i="3"/>
  <c r="J36" i="3"/>
  <c r="J37" i="3"/>
  <c r="J38" i="3"/>
  <c r="J39" i="3"/>
  <c r="J40" i="3"/>
  <c r="J41" i="3"/>
  <c r="J42" i="3"/>
  <c r="J43" i="3"/>
  <c r="J44" i="3"/>
  <c r="J45" i="3"/>
  <c r="K45" i="3" s="1"/>
  <c r="L45" i="3" s="1"/>
  <c r="M45" i="3" s="1"/>
  <c r="J46" i="3"/>
  <c r="K46" i="3" s="1"/>
  <c r="L46" i="3" s="1"/>
  <c r="M46" i="3" s="1"/>
  <c r="J47" i="3"/>
  <c r="J48" i="3"/>
  <c r="J49" i="3"/>
  <c r="J50" i="3"/>
  <c r="J51" i="3"/>
  <c r="J52" i="3"/>
  <c r="J53" i="3"/>
  <c r="J54" i="3"/>
  <c r="J55" i="3"/>
  <c r="J56" i="3"/>
  <c r="J5" i="3"/>
  <c r="K5" i="3" s="1"/>
  <c r="C6" i="3"/>
  <c r="C7" i="3"/>
  <c r="D7" i="3" s="1"/>
  <c r="C8" i="3"/>
  <c r="D8" i="3" s="1"/>
  <c r="C9" i="3"/>
  <c r="D9" i="3" s="1"/>
  <c r="C10" i="3"/>
  <c r="C11" i="3"/>
  <c r="C12" i="3"/>
  <c r="C13" i="3"/>
  <c r="D13" i="3" s="1"/>
  <c r="C14" i="3"/>
  <c r="D14" i="3" s="1"/>
  <c r="C15" i="3"/>
  <c r="D15" i="3" s="1"/>
  <c r="C16" i="3"/>
  <c r="C17" i="3"/>
  <c r="C18" i="3"/>
  <c r="C19" i="3"/>
  <c r="D19" i="3" s="1"/>
  <c r="C20" i="3"/>
  <c r="D20" i="3" s="1"/>
  <c r="C21" i="3"/>
  <c r="D21" i="3" s="1"/>
  <c r="C22" i="3"/>
  <c r="C23" i="3"/>
  <c r="C24" i="3"/>
  <c r="C25" i="3"/>
  <c r="D25" i="3" s="1"/>
  <c r="C26" i="3"/>
  <c r="D26" i="3" s="1"/>
  <c r="C27" i="3"/>
  <c r="D27" i="3" s="1"/>
  <c r="C28" i="3"/>
  <c r="C29" i="3"/>
  <c r="C30" i="3"/>
  <c r="C31" i="3"/>
  <c r="D31" i="3" s="1"/>
  <c r="C32" i="3"/>
  <c r="D32" i="3" s="1"/>
  <c r="C33" i="3"/>
  <c r="D33" i="3" s="1"/>
  <c r="C34" i="3"/>
  <c r="C35" i="3"/>
  <c r="C36" i="3"/>
  <c r="C37" i="3"/>
  <c r="D37" i="3" s="1"/>
  <c r="C38" i="3"/>
  <c r="D38" i="3" s="1"/>
  <c r="C39" i="3"/>
  <c r="D39" i="3" s="1"/>
  <c r="C40" i="3"/>
  <c r="C41" i="3"/>
  <c r="C42" i="3"/>
  <c r="C43" i="3"/>
  <c r="D43" i="3" s="1"/>
  <c r="C44" i="3"/>
  <c r="D44" i="3" s="1"/>
  <c r="C45" i="3"/>
  <c r="D45" i="3" s="1"/>
  <c r="C46" i="3"/>
  <c r="C47" i="3"/>
  <c r="C48" i="3"/>
  <c r="C49" i="3"/>
  <c r="D49" i="3" s="1"/>
  <c r="C50" i="3"/>
  <c r="D50" i="3" s="1"/>
  <c r="C51" i="3"/>
  <c r="D51" i="3" s="1"/>
  <c r="C52" i="3"/>
  <c r="C53" i="3"/>
  <c r="C54" i="3"/>
  <c r="C55" i="3"/>
  <c r="D55" i="3" s="1"/>
  <c r="C56" i="3"/>
  <c r="D56" i="3" s="1"/>
  <c r="C57" i="3"/>
  <c r="D57" i="3" s="1"/>
  <c r="C58" i="3"/>
  <c r="C59" i="3"/>
  <c r="C5" i="3"/>
  <c r="AM5" i="3"/>
  <c r="AN5" i="3" s="1"/>
  <c r="AO5" i="3" s="1"/>
  <c r="AM8" i="3"/>
  <c r="AM9" i="3"/>
  <c r="AM10" i="3"/>
  <c r="AN10" i="3" s="1"/>
  <c r="AO10" i="3" s="1"/>
  <c r="AM11" i="3"/>
  <c r="AM12" i="3"/>
  <c r="AN12" i="3" s="1"/>
  <c r="AO12" i="3" s="1"/>
  <c r="AM17" i="3"/>
  <c r="AM20" i="3"/>
  <c r="AM21" i="3"/>
  <c r="AM22" i="3"/>
  <c r="AM23" i="3"/>
  <c r="AN23" i="3" s="1"/>
  <c r="AO23" i="3" s="1"/>
  <c r="AM24" i="3"/>
  <c r="AN24" i="3" s="1"/>
  <c r="AO24" i="3" s="1"/>
  <c r="AM29" i="3"/>
  <c r="AM32" i="3"/>
  <c r="AN32" i="3" s="1"/>
  <c r="AO32" i="3" s="1"/>
  <c r="AM33" i="3"/>
  <c r="AN33" i="3" s="1"/>
  <c r="AO33" i="3" s="1"/>
  <c r="AM34" i="3"/>
  <c r="AN34" i="3" s="1"/>
  <c r="AO34" i="3" s="1"/>
  <c r="AM35" i="3"/>
  <c r="AN35" i="3" s="1"/>
  <c r="AO35" i="3" s="1"/>
  <c r="AM36" i="3"/>
  <c r="AN36" i="3" s="1"/>
  <c r="AO36" i="3" s="1"/>
  <c r="AM41" i="3"/>
  <c r="AM44" i="3"/>
  <c r="AN44" i="3" s="1"/>
  <c r="AO44" i="3" s="1"/>
  <c r="AM45" i="3"/>
  <c r="AN45" i="3" s="1"/>
  <c r="AO45" i="3" s="1"/>
  <c r="AM46" i="3"/>
  <c r="AN46" i="3" s="1"/>
  <c r="AO46" i="3" s="1"/>
  <c r="AM47" i="3"/>
  <c r="AN47" i="3" s="1"/>
  <c r="AO47" i="3" s="1"/>
  <c r="AM4" i="3"/>
  <c r="AF5" i="3"/>
  <c r="AG5" i="3" s="1"/>
  <c r="AH5" i="3" s="1"/>
  <c r="AF7" i="3"/>
  <c r="AF8" i="3"/>
  <c r="AG8" i="3" s="1"/>
  <c r="AH8" i="3" s="1"/>
  <c r="AF10" i="3"/>
  <c r="AG10" i="3" s="1"/>
  <c r="AH10" i="3" s="1"/>
  <c r="AF11" i="3"/>
  <c r="AF12" i="3"/>
  <c r="AG12" i="3" s="1"/>
  <c r="AH12" i="3" s="1"/>
  <c r="AF16" i="3"/>
  <c r="AF17" i="3"/>
  <c r="AF19" i="3"/>
  <c r="AF20" i="3"/>
  <c r="AG20" i="3" s="1"/>
  <c r="AH20" i="3" s="1"/>
  <c r="AF21" i="3"/>
  <c r="AG21" i="3" s="1"/>
  <c r="AH21" i="3" s="1"/>
  <c r="AF22" i="3"/>
  <c r="AG22" i="3" s="1"/>
  <c r="AH22" i="3" s="1"/>
  <c r="AF23" i="3"/>
  <c r="AF24" i="3"/>
  <c r="AG24" i="3" s="1"/>
  <c r="AH24" i="3" s="1"/>
  <c r="AF28" i="3"/>
  <c r="AF29" i="3"/>
  <c r="AF31" i="3"/>
  <c r="AF32" i="3"/>
  <c r="AG32" i="3" s="1"/>
  <c r="AH32" i="3" s="1"/>
  <c r="AF33" i="3"/>
  <c r="AG33" i="3" s="1"/>
  <c r="AH33" i="3" s="1"/>
  <c r="AF34" i="3"/>
  <c r="AG34" i="3" s="1"/>
  <c r="AH34" i="3" s="1"/>
  <c r="AF35" i="3"/>
  <c r="AF36" i="3"/>
  <c r="AF40" i="3"/>
  <c r="AF41" i="3"/>
  <c r="AF43" i="3"/>
  <c r="AF44" i="3"/>
  <c r="AF45" i="3"/>
  <c r="AG45" i="3" s="1"/>
  <c r="AH45" i="3" s="1"/>
  <c r="AF46" i="3"/>
  <c r="AG46" i="3" s="1"/>
  <c r="AH46" i="3" s="1"/>
  <c r="AF47" i="3"/>
  <c r="AF48" i="3"/>
  <c r="AG48" i="3" s="1"/>
  <c r="AH48" i="3" s="1"/>
  <c r="AF52" i="3"/>
  <c r="AG52" i="3" s="1"/>
  <c r="AH52" i="3" s="1"/>
  <c r="AF53" i="3"/>
  <c r="AF4" i="3"/>
  <c r="Y5" i="3"/>
  <c r="Y6" i="3"/>
  <c r="Y7" i="3"/>
  <c r="Y8" i="3"/>
  <c r="Y9" i="3"/>
  <c r="Y10" i="3"/>
  <c r="Y11" i="3"/>
  <c r="Y17" i="3"/>
  <c r="Z17" i="3" s="1"/>
  <c r="AA17" i="3" s="1"/>
  <c r="Y18" i="3"/>
  <c r="Z18" i="3" s="1"/>
  <c r="AA18" i="3" s="1"/>
  <c r="Y19" i="3"/>
  <c r="Z19" i="3" s="1"/>
  <c r="AA19" i="3" s="1"/>
  <c r="Y20" i="3"/>
  <c r="Y21" i="3"/>
  <c r="Y22" i="3"/>
  <c r="Y29" i="3"/>
  <c r="Y30" i="3"/>
  <c r="Z30" i="3" s="1"/>
  <c r="AA30" i="3" s="1"/>
  <c r="Y31" i="3"/>
  <c r="Z31" i="3" s="1"/>
  <c r="AA31" i="3" s="1"/>
  <c r="Y32" i="3"/>
  <c r="Y33" i="3"/>
  <c r="Y34" i="3"/>
  <c r="Y35" i="3"/>
  <c r="Y4" i="3"/>
  <c r="R6" i="3"/>
  <c r="S6" i="3" s="1"/>
  <c r="T6" i="3" s="1"/>
  <c r="R7" i="3"/>
  <c r="R8" i="3"/>
  <c r="R9" i="3"/>
  <c r="S9" i="3" s="1"/>
  <c r="T9" i="3" s="1"/>
  <c r="R10" i="3"/>
  <c r="S10" i="3" s="1"/>
  <c r="T10" i="3" s="1"/>
  <c r="R17" i="3"/>
  <c r="R18" i="3"/>
  <c r="R19" i="3"/>
  <c r="R20" i="3"/>
  <c r="R21" i="3"/>
  <c r="S21" i="3" s="1"/>
  <c r="T21" i="3" s="1"/>
  <c r="R22" i="3"/>
  <c r="S22" i="3" s="1"/>
  <c r="T22" i="3" s="1"/>
  <c r="R29" i="3"/>
  <c r="S29" i="3" s="1"/>
  <c r="T29" i="3" s="1"/>
  <c r="R30" i="3"/>
  <c r="S30" i="3" s="1"/>
  <c r="T30" i="3" s="1"/>
  <c r="R31" i="3"/>
  <c r="R32" i="3"/>
  <c r="R33" i="3"/>
  <c r="S33" i="3" s="1"/>
  <c r="T33" i="3" s="1"/>
  <c r="R34" i="3"/>
  <c r="S34" i="3" s="1"/>
  <c r="T34" i="3" s="1"/>
  <c r="R41" i="3"/>
  <c r="R42" i="3"/>
  <c r="R43" i="3"/>
  <c r="R44" i="3"/>
  <c r="R45" i="3"/>
  <c r="S45" i="3" s="1"/>
  <c r="T45" i="3" s="1"/>
  <c r="R46" i="3"/>
  <c r="S46" i="3" s="1"/>
  <c r="T46" i="3" s="1"/>
  <c r="R53" i="3"/>
  <c r="S53" i="3" s="1"/>
  <c r="T53" i="3" s="1"/>
  <c r="R54" i="3"/>
  <c r="S54" i="3" s="1"/>
  <c r="T54" i="3" s="1"/>
  <c r="R55" i="3"/>
  <c r="R56" i="3"/>
  <c r="R57" i="3"/>
  <c r="S57" i="3" s="1"/>
  <c r="T57" i="3" s="1"/>
  <c r="R58" i="3"/>
  <c r="S58" i="3" s="1"/>
  <c r="T58" i="3" s="1"/>
  <c r="R4" i="3"/>
  <c r="K6" i="3"/>
  <c r="K7" i="3"/>
  <c r="K8" i="3"/>
  <c r="K11" i="3"/>
  <c r="K12" i="3"/>
  <c r="K13" i="3"/>
  <c r="K14" i="3"/>
  <c r="K15" i="3"/>
  <c r="L15" i="3" s="1"/>
  <c r="M15" i="3" s="1"/>
  <c r="K16" i="3"/>
  <c r="K17" i="3"/>
  <c r="L17" i="3" s="1"/>
  <c r="M17" i="3" s="1"/>
  <c r="K18" i="3"/>
  <c r="L18" i="3" s="1"/>
  <c r="M18" i="3" s="1"/>
  <c r="K19" i="3"/>
  <c r="K20" i="3"/>
  <c r="L20" i="3" s="1"/>
  <c r="M20" i="3" s="1"/>
  <c r="K23" i="3"/>
  <c r="K24" i="3"/>
  <c r="L24" i="3" s="1"/>
  <c r="M24" i="3" s="1"/>
  <c r="K25" i="3"/>
  <c r="K26" i="3"/>
  <c r="K27" i="3"/>
  <c r="L27" i="3" s="1"/>
  <c r="M27" i="3" s="1"/>
  <c r="K28" i="3"/>
  <c r="K29" i="3"/>
  <c r="K30" i="3"/>
  <c r="K31" i="3"/>
  <c r="K32" i="3"/>
  <c r="L32" i="3" s="1"/>
  <c r="M32" i="3" s="1"/>
  <c r="K35" i="3"/>
  <c r="K36" i="3"/>
  <c r="K37" i="3"/>
  <c r="K38" i="3"/>
  <c r="K39" i="3"/>
  <c r="L39" i="3" s="1"/>
  <c r="M39" i="3" s="1"/>
  <c r="K40" i="3"/>
  <c r="K41" i="3"/>
  <c r="L41" i="3" s="1"/>
  <c r="M41" i="3" s="1"/>
  <c r="K42" i="3"/>
  <c r="L42" i="3" s="1"/>
  <c r="M42" i="3" s="1"/>
  <c r="K43" i="3"/>
  <c r="K44" i="3"/>
  <c r="L44" i="3" s="1"/>
  <c r="M44" i="3" s="1"/>
  <c r="K47" i="3"/>
  <c r="L47" i="3" s="1"/>
  <c r="M47" i="3" s="1"/>
  <c r="K48" i="3"/>
  <c r="L48" i="3" s="1"/>
  <c r="M48" i="3" s="1"/>
  <c r="K49" i="3"/>
  <c r="K50" i="3"/>
  <c r="K51" i="3"/>
  <c r="L51" i="3" s="1"/>
  <c r="M51" i="3" s="1"/>
  <c r="K52" i="3"/>
  <c r="K53" i="3"/>
  <c r="K54" i="3"/>
  <c r="K55" i="3"/>
  <c r="K56" i="3"/>
  <c r="K4" i="3"/>
  <c r="D5" i="3"/>
  <c r="E5" i="3" s="1"/>
  <c r="F5" i="3" s="1"/>
  <c r="D6" i="3"/>
  <c r="E6" i="3" s="1"/>
  <c r="F6" i="3" s="1"/>
  <c r="D10" i="3"/>
  <c r="D11" i="3"/>
  <c r="D12" i="3"/>
  <c r="D16" i="3"/>
  <c r="E16" i="3" s="1"/>
  <c r="F16" i="3" s="1"/>
  <c r="D17" i="3"/>
  <c r="E17" i="3" s="1"/>
  <c r="F17" i="3" s="1"/>
  <c r="D18" i="3"/>
  <c r="E18" i="3" s="1"/>
  <c r="F18" i="3" s="1"/>
  <c r="D22" i="3"/>
  <c r="D23" i="3"/>
  <c r="D24" i="3"/>
  <c r="D28" i="3"/>
  <c r="D29" i="3"/>
  <c r="E29" i="3" s="1"/>
  <c r="F29" i="3" s="1"/>
  <c r="D30" i="3"/>
  <c r="E30" i="3" s="1"/>
  <c r="F30" i="3" s="1"/>
  <c r="D34" i="3"/>
  <c r="D35" i="3"/>
  <c r="D36" i="3"/>
  <c r="D40" i="3"/>
  <c r="E40" i="3" s="1"/>
  <c r="F40" i="3" s="1"/>
  <c r="D41" i="3"/>
  <c r="E41" i="3" s="1"/>
  <c r="F41" i="3" s="1"/>
  <c r="D42" i="3"/>
  <c r="E42" i="3" s="1"/>
  <c r="F42" i="3" s="1"/>
  <c r="D46" i="3"/>
  <c r="D47" i="3"/>
  <c r="D48" i="3"/>
  <c r="D52" i="3"/>
  <c r="D53" i="3"/>
  <c r="E53" i="3" s="1"/>
  <c r="F53" i="3" s="1"/>
  <c r="D54" i="3"/>
  <c r="E54" i="3" s="1"/>
  <c r="F54" i="3" s="1"/>
  <c r="D58" i="3"/>
  <c r="D59" i="3"/>
  <c r="D4" i="3"/>
  <c r="AN22" i="3"/>
  <c r="AO22" i="3" s="1"/>
  <c r="AN20" i="3"/>
  <c r="AO20" i="3" s="1"/>
  <c r="AN8" i="3"/>
  <c r="AO8" i="3" s="1"/>
  <c r="AN4" i="3"/>
  <c r="AO4" i="3" s="1"/>
  <c r="AG36" i="3"/>
  <c r="AH36" i="3" s="1"/>
  <c r="S17" i="3"/>
  <c r="T17" i="3" s="1"/>
  <c r="S18" i="3"/>
  <c r="T18" i="3" s="1"/>
  <c r="S41" i="3"/>
  <c r="T41" i="3" s="1"/>
  <c r="S42" i="3"/>
  <c r="T42" i="3" s="1"/>
  <c r="AN9" i="3"/>
  <c r="AO9" i="3" s="1"/>
  <c r="AN11" i="3"/>
  <c r="AO11" i="3" s="1"/>
  <c r="AN21" i="3"/>
  <c r="AO21" i="3" s="1"/>
  <c r="AG7" i="3"/>
  <c r="AH7" i="3" s="1"/>
  <c r="AG11" i="3"/>
  <c r="AH11" i="3" s="1"/>
  <c r="AG19" i="3"/>
  <c r="AH19" i="3" s="1"/>
  <c r="AG23" i="3"/>
  <c r="AH23" i="3" s="1"/>
  <c r="AG31" i="3"/>
  <c r="AH31" i="3" s="1"/>
  <c r="AG35" i="3"/>
  <c r="AH35" i="3" s="1"/>
  <c r="AG43" i="3"/>
  <c r="AH43" i="3" s="1"/>
  <c r="AG44" i="3"/>
  <c r="AH44" i="3" s="1"/>
  <c r="AG47" i="3"/>
  <c r="AH47" i="3" s="1"/>
  <c r="Z6" i="3"/>
  <c r="AA6" i="3" s="1"/>
  <c r="Z7" i="3"/>
  <c r="AA7" i="3" s="1"/>
  <c r="Z29" i="3"/>
  <c r="AA29" i="3" s="1"/>
  <c r="L6" i="3"/>
  <c r="M6" i="3" s="1"/>
  <c r="L8" i="3"/>
  <c r="M8" i="3" s="1"/>
  <c r="L11" i="3"/>
  <c r="M11" i="3" s="1"/>
  <c r="L12" i="3"/>
  <c r="M12" i="3" s="1"/>
  <c r="L16" i="3"/>
  <c r="M16" i="3" s="1"/>
  <c r="L23" i="3"/>
  <c r="M23" i="3" s="1"/>
  <c r="L28" i="3"/>
  <c r="M28" i="3" s="1"/>
  <c r="L29" i="3"/>
  <c r="M29" i="3" s="1"/>
  <c r="L30" i="3"/>
  <c r="M30" i="3" s="1"/>
  <c r="L35" i="3"/>
  <c r="M35" i="3" s="1"/>
  <c r="L36" i="3"/>
  <c r="M36" i="3" s="1"/>
  <c r="L40" i="3"/>
  <c r="M40" i="3" s="1"/>
  <c r="L52" i="3"/>
  <c r="M52" i="3" s="1"/>
  <c r="L53" i="3"/>
  <c r="M53" i="3" s="1"/>
  <c r="L54" i="3"/>
  <c r="M54" i="3" s="1"/>
  <c r="L56" i="3"/>
  <c r="M56" i="3" s="1"/>
  <c r="E28" i="3"/>
  <c r="F28" i="3" s="1"/>
  <c r="E52" i="3"/>
  <c r="F52" i="3" s="1"/>
  <c r="AL4" i="3"/>
  <c r="AE4" i="3"/>
  <c r="X4" i="3"/>
  <c r="Z4" i="3" s="1"/>
  <c r="AA4" i="3" s="1"/>
  <c r="Q4" i="3"/>
  <c r="S4" i="3" s="1"/>
  <c r="T4" i="3" s="1"/>
  <c r="J4" i="3"/>
  <c r="C4" i="3"/>
  <c r="X54" i="2"/>
  <c r="T54" i="2"/>
  <c r="P54" i="2"/>
  <c r="L54" i="2"/>
  <c r="H54" i="2"/>
  <c r="D54" i="2"/>
  <c r="X52" i="2"/>
  <c r="W52" i="2"/>
  <c r="W30" i="2"/>
  <c r="X30" i="2" s="1"/>
  <c r="X29" i="2"/>
  <c r="W29" i="2"/>
  <c r="W28" i="2"/>
  <c r="X28" i="2" s="1"/>
  <c r="X27" i="2"/>
  <c r="W27" i="2"/>
  <c r="W26" i="2"/>
  <c r="X26" i="2" s="1"/>
  <c r="W25" i="2"/>
  <c r="X25" i="2" s="1"/>
  <c r="X24" i="2"/>
  <c r="W24" i="2"/>
  <c r="X23" i="2"/>
  <c r="W23" i="2"/>
  <c r="W22" i="2"/>
  <c r="X22" i="2" s="1"/>
  <c r="X21" i="2"/>
  <c r="W21" i="2"/>
  <c r="W20" i="2"/>
  <c r="X20" i="2" s="1"/>
  <c r="W19" i="2"/>
  <c r="X19" i="2" s="1"/>
  <c r="X18" i="2"/>
  <c r="W18" i="2"/>
  <c r="X17" i="2"/>
  <c r="W17" i="2"/>
  <c r="W16" i="2"/>
  <c r="X16" i="2" s="1"/>
  <c r="X15" i="2"/>
  <c r="W15" i="2"/>
  <c r="W14" i="2"/>
  <c r="X14" i="2" s="1"/>
  <c r="W13" i="2"/>
  <c r="X13" i="2" s="1"/>
  <c r="X12" i="2"/>
  <c r="W12" i="2"/>
  <c r="X11" i="2"/>
  <c r="W11" i="2"/>
  <c r="W10" i="2"/>
  <c r="X10" i="2" s="1"/>
  <c r="W9" i="2"/>
  <c r="X9" i="2" s="1"/>
  <c r="W8" i="2"/>
  <c r="X8" i="2" s="1"/>
  <c r="W7" i="2"/>
  <c r="X7" i="2" s="1"/>
  <c r="X6" i="2"/>
  <c r="W6" i="2"/>
  <c r="X5" i="2"/>
  <c r="W5" i="2"/>
  <c r="W4" i="2"/>
  <c r="X4" i="2" s="1"/>
  <c r="T52" i="2"/>
  <c r="S52" i="2"/>
  <c r="S49" i="2"/>
  <c r="T49" i="2" s="1"/>
  <c r="S42" i="2"/>
  <c r="T42" i="2" s="1"/>
  <c r="S43" i="2"/>
  <c r="T43" i="2"/>
  <c r="S44" i="2"/>
  <c r="T44" i="2" s="1"/>
  <c r="S45" i="2"/>
  <c r="T45" i="2" s="1"/>
  <c r="S46" i="2"/>
  <c r="T46" i="2" s="1"/>
  <c r="S47" i="2"/>
  <c r="T47" i="2"/>
  <c r="S48" i="2"/>
  <c r="T48" i="2" s="1"/>
  <c r="S41" i="2"/>
  <c r="T41" i="2" s="1"/>
  <c r="S40" i="2"/>
  <c r="T40" i="2" s="1"/>
  <c r="S39" i="2"/>
  <c r="T39" i="2" s="1"/>
  <c r="S38" i="2"/>
  <c r="T38" i="2" s="1"/>
  <c r="S37" i="2"/>
  <c r="T37" i="2" s="1"/>
  <c r="S36" i="2"/>
  <c r="T36" i="2" s="1"/>
  <c r="S35" i="2"/>
  <c r="T35" i="2" s="1"/>
  <c r="S34" i="2"/>
  <c r="T34" i="2" s="1"/>
  <c r="S33" i="2"/>
  <c r="T33" i="2" s="1"/>
  <c r="S32" i="2"/>
  <c r="T32" i="2" s="1"/>
  <c r="S31" i="2"/>
  <c r="T31" i="2" s="1"/>
  <c r="S30" i="2"/>
  <c r="T30" i="2" s="1"/>
  <c r="S29" i="2"/>
  <c r="T29" i="2" s="1"/>
  <c r="S28" i="2"/>
  <c r="T28" i="2" s="1"/>
  <c r="S27" i="2"/>
  <c r="T27" i="2" s="1"/>
  <c r="S26" i="2"/>
  <c r="T26" i="2" s="1"/>
  <c r="S25" i="2"/>
  <c r="T25" i="2" s="1"/>
  <c r="S24" i="2"/>
  <c r="T24" i="2" s="1"/>
  <c r="S23" i="2"/>
  <c r="T23" i="2" s="1"/>
  <c r="S22" i="2"/>
  <c r="T22" i="2" s="1"/>
  <c r="S21" i="2"/>
  <c r="T21" i="2" s="1"/>
  <c r="S20" i="2"/>
  <c r="T20" i="2" s="1"/>
  <c r="S19" i="2"/>
  <c r="T19" i="2" s="1"/>
  <c r="S18" i="2"/>
  <c r="T18" i="2" s="1"/>
  <c r="S17" i="2"/>
  <c r="T17" i="2" s="1"/>
  <c r="S16" i="2"/>
  <c r="T16" i="2" s="1"/>
  <c r="S15" i="2"/>
  <c r="T15" i="2" s="1"/>
  <c r="S14" i="2"/>
  <c r="T14" i="2" s="1"/>
  <c r="S13" i="2"/>
  <c r="T13" i="2" s="1"/>
  <c r="S12" i="2"/>
  <c r="T12" i="2" s="1"/>
  <c r="S11" i="2"/>
  <c r="T11" i="2" s="1"/>
  <c r="S10" i="2"/>
  <c r="T10" i="2" s="1"/>
  <c r="S9" i="2"/>
  <c r="T9" i="2" s="1"/>
  <c r="S8" i="2"/>
  <c r="T8" i="2" s="1"/>
  <c r="S7" i="2"/>
  <c r="T7" i="2" s="1"/>
  <c r="S6" i="2"/>
  <c r="T6" i="2" s="1"/>
  <c r="S5" i="2"/>
  <c r="T5" i="2" s="1"/>
  <c r="S4" i="2"/>
  <c r="T4" i="2" s="1"/>
  <c r="P52" i="2"/>
  <c r="O52" i="2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O30" i="2"/>
  <c r="P30" i="2" s="1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O13" i="2"/>
  <c r="P13" i="2" s="1"/>
  <c r="O12" i="2"/>
  <c r="P12" i="2" s="1"/>
  <c r="O11" i="2"/>
  <c r="P11" i="2" s="1"/>
  <c r="O10" i="2"/>
  <c r="P10" i="2" s="1"/>
  <c r="O9" i="2"/>
  <c r="P9" i="2" s="1"/>
  <c r="O8" i="2"/>
  <c r="P8" i="2" s="1"/>
  <c r="O7" i="2"/>
  <c r="P7" i="2" s="1"/>
  <c r="O6" i="2"/>
  <c r="P6" i="2" s="1"/>
  <c r="O5" i="2"/>
  <c r="P5" i="2" s="1"/>
  <c r="O4" i="2"/>
  <c r="P4" i="2" s="1"/>
  <c r="L52" i="2"/>
  <c r="K52" i="2"/>
  <c r="L35" i="2"/>
  <c r="K35" i="2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G42" i="2"/>
  <c r="C43" i="2"/>
  <c r="G6" i="2"/>
  <c r="G7" i="2"/>
  <c r="G8" i="2"/>
  <c r="G9" i="2"/>
  <c r="H9" i="2" s="1"/>
  <c r="G10" i="2"/>
  <c r="G11" i="2"/>
  <c r="G12" i="2"/>
  <c r="G13" i="2"/>
  <c r="G14" i="2"/>
  <c r="H14" i="2" s="1"/>
  <c r="G15" i="2"/>
  <c r="H15" i="2" s="1"/>
  <c r="G16" i="2"/>
  <c r="H16" i="2" s="1"/>
  <c r="G17" i="2"/>
  <c r="H17" i="2" s="1"/>
  <c r="G18" i="2"/>
  <c r="G19" i="2"/>
  <c r="G20" i="2"/>
  <c r="G21" i="2"/>
  <c r="H21" i="2" s="1"/>
  <c r="G22" i="2"/>
  <c r="G23" i="2"/>
  <c r="G24" i="2"/>
  <c r="G25" i="2"/>
  <c r="G26" i="2"/>
  <c r="H26" i="2" s="1"/>
  <c r="G27" i="2"/>
  <c r="H27" i="2" s="1"/>
  <c r="G28" i="2"/>
  <c r="H28" i="2" s="1"/>
  <c r="G29" i="2"/>
  <c r="H29" i="2" s="1"/>
  <c r="G30" i="2"/>
  <c r="G31" i="2"/>
  <c r="G32" i="2"/>
  <c r="G33" i="2"/>
  <c r="H33" i="2" s="1"/>
  <c r="G34" i="2"/>
  <c r="G35" i="2"/>
  <c r="G36" i="2"/>
  <c r="G37" i="2"/>
  <c r="G38" i="2"/>
  <c r="H38" i="2" s="1"/>
  <c r="G39" i="2"/>
  <c r="H39" i="2" s="1"/>
  <c r="G40" i="2"/>
  <c r="H40" i="2" s="1"/>
  <c r="G41" i="2"/>
  <c r="H41" i="2" s="1"/>
  <c r="C6" i="2"/>
  <c r="C7" i="2"/>
  <c r="C8" i="2"/>
  <c r="C9" i="2"/>
  <c r="D9" i="2" s="1"/>
  <c r="C10" i="2"/>
  <c r="D10" i="2" s="1"/>
  <c r="C11" i="2"/>
  <c r="D11" i="2" s="1"/>
  <c r="C12" i="2"/>
  <c r="C13" i="2"/>
  <c r="C14" i="2"/>
  <c r="C15" i="2"/>
  <c r="C16" i="2"/>
  <c r="C17" i="2"/>
  <c r="C18" i="2"/>
  <c r="C19" i="2"/>
  <c r="C20" i="2"/>
  <c r="C21" i="2"/>
  <c r="D21" i="2" s="1"/>
  <c r="C22" i="2"/>
  <c r="D22" i="2" s="1"/>
  <c r="C23" i="2"/>
  <c r="D23" i="2" s="1"/>
  <c r="C24" i="2"/>
  <c r="C25" i="2"/>
  <c r="C26" i="2"/>
  <c r="C27" i="2"/>
  <c r="C28" i="2"/>
  <c r="C29" i="2"/>
  <c r="C30" i="2"/>
  <c r="C31" i="2"/>
  <c r="C32" i="2"/>
  <c r="C33" i="2"/>
  <c r="D33" i="2" s="1"/>
  <c r="C34" i="2"/>
  <c r="D34" i="2" s="1"/>
  <c r="C35" i="2"/>
  <c r="D35" i="2" s="1"/>
  <c r="C36" i="2"/>
  <c r="C37" i="2"/>
  <c r="C38" i="2"/>
  <c r="C39" i="2"/>
  <c r="C40" i="2"/>
  <c r="C41" i="2"/>
  <c r="C42" i="2"/>
  <c r="H42" i="2"/>
  <c r="H37" i="2"/>
  <c r="H36" i="2"/>
  <c r="H35" i="2"/>
  <c r="H34" i="2"/>
  <c r="H32" i="2"/>
  <c r="H31" i="2"/>
  <c r="H30" i="2"/>
  <c r="H25" i="2"/>
  <c r="H24" i="2"/>
  <c r="H23" i="2"/>
  <c r="H22" i="2"/>
  <c r="H20" i="2"/>
  <c r="H19" i="2"/>
  <c r="H18" i="2"/>
  <c r="H13" i="2"/>
  <c r="H12" i="2"/>
  <c r="H11" i="2"/>
  <c r="H10" i="2"/>
  <c r="H8" i="2"/>
  <c r="H7" i="2"/>
  <c r="H6" i="2"/>
  <c r="G5" i="2"/>
  <c r="H5" i="2" s="1"/>
  <c r="H4" i="2"/>
  <c r="G4" i="2"/>
  <c r="D43" i="2"/>
  <c r="D6" i="2"/>
  <c r="D7" i="2"/>
  <c r="D8" i="2"/>
  <c r="D12" i="2"/>
  <c r="D13" i="2"/>
  <c r="D14" i="2"/>
  <c r="D15" i="2"/>
  <c r="D16" i="2"/>
  <c r="D17" i="2"/>
  <c r="D18" i="2"/>
  <c r="D19" i="2"/>
  <c r="D20" i="2"/>
  <c r="D24" i="2"/>
  <c r="D25" i="2"/>
  <c r="D26" i="2"/>
  <c r="D27" i="2"/>
  <c r="D28" i="2"/>
  <c r="D29" i="2"/>
  <c r="D30" i="2"/>
  <c r="D31" i="2"/>
  <c r="D32" i="2"/>
  <c r="D36" i="2"/>
  <c r="D37" i="2"/>
  <c r="D38" i="2"/>
  <c r="D39" i="2"/>
  <c r="D40" i="2"/>
  <c r="D41" i="2"/>
  <c r="D42" i="2"/>
  <c r="C5" i="2"/>
  <c r="D5" i="2" s="1"/>
  <c r="C4" i="2"/>
  <c r="R65" i="3" l="1"/>
  <c r="S5" i="3"/>
  <c r="T5" i="3" s="1"/>
  <c r="AM65" i="3"/>
  <c r="AG4" i="3"/>
  <c r="AH4" i="3" s="1"/>
  <c r="S55" i="3"/>
  <c r="T55" i="3" s="1"/>
  <c r="S43" i="3"/>
  <c r="T43" i="3" s="1"/>
  <c r="S31" i="3"/>
  <c r="T31" i="3" s="1"/>
  <c r="S19" i="3"/>
  <c r="T19" i="3" s="1"/>
  <c r="E55" i="3"/>
  <c r="F55" i="3" s="1"/>
  <c r="E43" i="3"/>
  <c r="F43" i="3" s="1"/>
  <c r="E31" i="3"/>
  <c r="F31" i="3" s="1"/>
  <c r="E19" i="3"/>
  <c r="F19" i="3" s="1"/>
  <c r="E7" i="3"/>
  <c r="F7" i="3" s="1"/>
  <c r="AN41" i="3"/>
  <c r="AO41" i="3" s="1"/>
  <c r="AN29" i="3"/>
  <c r="AO29" i="3" s="1"/>
  <c r="AN17" i="3"/>
  <c r="AO17" i="3" s="1"/>
  <c r="AN40" i="3"/>
  <c r="AO40" i="3" s="1"/>
  <c r="AN28" i="3"/>
  <c r="AO28" i="3" s="1"/>
  <c r="AN16" i="3"/>
  <c r="AO16" i="3" s="1"/>
  <c r="AN39" i="3"/>
  <c r="AO39" i="3" s="1"/>
  <c r="AN27" i="3"/>
  <c r="AO27" i="3" s="1"/>
  <c r="AN15" i="3"/>
  <c r="AO15" i="3" s="1"/>
  <c r="AG42" i="3"/>
  <c r="AH42" i="3" s="1"/>
  <c r="AG30" i="3"/>
  <c r="AH30" i="3" s="1"/>
  <c r="AG18" i="3"/>
  <c r="AH18" i="3" s="1"/>
  <c r="AG6" i="3"/>
  <c r="AH6" i="3" s="1"/>
  <c r="AG53" i="3"/>
  <c r="AH53" i="3" s="1"/>
  <c r="AG41" i="3"/>
  <c r="AH41" i="3" s="1"/>
  <c r="AG29" i="3"/>
  <c r="AH29" i="3" s="1"/>
  <c r="AG17" i="3"/>
  <c r="AH17" i="3" s="1"/>
  <c r="AG40" i="3"/>
  <c r="AH40" i="3" s="1"/>
  <c r="AG28" i="3"/>
  <c r="AH28" i="3" s="1"/>
  <c r="AG16" i="3"/>
  <c r="AH16" i="3" s="1"/>
  <c r="AG50" i="3"/>
  <c r="AH50" i="3" s="1"/>
  <c r="AG38" i="3"/>
  <c r="AH38" i="3" s="1"/>
  <c r="AG26" i="3"/>
  <c r="AH26" i="3" s="1"/>
  <c r="AG14" i="3"/>
  <c r="AH14" i="3" s="1"/>
  <c r="AG49" i="3"/>
  <c r="AH49" i="3" s="1"/>
  <c r="AG37" i="3"/>
  <c r="AH37" i="3" s="1"/>
  <c r="AG25" i="3"/>
  <c r="AH25" i="3" s="1"/>
  <c r="AG13" i="3"/>
  <c r="AH13" i="3" s="1"/>
  <c r="AF65" i="3"/>
  <c r="Z38" i="3"/>
  <c r="AA38" i="3" s="1"/>
  <c r="Z37" i="3"/>
  <c r="AA37" i="3" s="1"/>
  <c r="Z25" i="3"/>
  <c r="AA25" i="3" s="1"/>
  <c r="Z36" i="3"/>
  <c r="AA36" i="3" s="1"/>
  <c r="Z12" i="3"/>
  <c r="AA12" i="3" s="1"/>
  <c r="Z23" i="3"/>
  <c r="AA23" i="3" s="1"/>
  <c r="Z22" i="3"/>
  <c r="AA22" i="3" s="1"/>
  <c r="Z5" i="3"/>
  <c r="AA5" i="3" s="1"/>
  <c r="Z33" i="3"/>
  <c r="AA33" i="3" s="1"/>
  <c r="Z21" i="3"/>
  <c r="AA21" i="3" s="1"/>
  <c r="Z9" i="3"/>
  <c r="AA9" i="3" s="1"/>
  <c r="Y65" i="3"/>
  <c r="Z26" i="3"/>
  <c r="AA26" i="3" s="1"/>
  <c r="Z13" i="3"/>
  <c r="AA13" i="3" s="1"/>
  <c r="Z24" i="3"/>
  <c r="AA24" i="3" s="1"/>
  <c r="Z35" i="3"/>
  <c r="AA35" i="3" s="1"/>
  <c r="Z11" i="3"/>
  <c r="AA11" i="3" s="1"/>
  <c r="Z34" i="3"/>
  <c r="AA34" i="3" s="1"/>
  <c r="Z10" i="3"/>
  <c r="AA10" i="3" s="1"/>
  <c r="Z32" i="3"/>
  <c r="AA32" i="3" s="1"/>
  <c r="Z20" i="3"/>
  <c r="AA20" i="3" s="1"/>
  <c r="Z8" i="3"/>
  <c r="AA8" i="3" s="1"/>
  <c r="S59" i="3"/>
  <c r="T59" i="3" s="1"/>
  <c r="S7" i="3"/>
  <c r="T7" i="3" s="1"/>
  <c r="S11" i="3"/>
  <c r="T11" i="3" s="1"/>
  <c r="S26" i="3"/>
  <c r="T26" i="3" s="1"/>
  <c r="S49" i="3"/>
  <c r="T49" i="3" s="1"/>
  <c r="S37" i="3"/>
  <c r="T37" i="3" s="1"/>
  <c r="S25" i="3"/>
  <c r="T25" i="3" s="1"/>
  <c r="S13" i="3"/>
  <c r="T13" i="3" s="1"/>
  <c r="S38" i="3"/>
  <c r="T38" i="3" s="1"/>
  <c r="S14" i="3"/>
  <c r="T14" i="3" s="1"/>
  <c r="S48" i="3"/>
  <c r="T48" i="3" s="1"/>
  <c r="S36" i="3"/>
  <c r="T36" i="3" s="1"/>
  <c r="S24" i="3"/>
  <c r="T24" i="3" s="1"/>
  <c r="S12" i="3"/>
  <c r="T12" i="3" s="1"/>
  <c r="S50" i="3"/>
  <c r="T50" i="3" s="1"/>
  <c r="S35" i="3"/>
  <c r="T35" i="3" s="1"/>
  <c r="S56" i="3"/>
  <c r="T56" i="3" s="1"/>
  <c r="S44" i="3"/>
  <c r="T44" i="3" s="1"/>
  <c r="S32" i="3"/>
  <c r="T32" i="3" s="1"/>
  <c r="S20" i="3"/>
  <c r="T20" i="3" s="1"/>
  <c r="S8" i="3"/>
  <c r="T8" i="3" s="1"/>
  <c r="L50" i="3"/>
  <c r="M50" i="3" s="1"/>
  <c r="L38" i="3"/>
  <c r="M38" i="3" s="1"/>
  <c r="L26" i="3"/>
  <c r="M26" i="3" s="1"/>
  <c r="L14" i="3"/>
  <c r="M14" i="3" s="1"/>
  <c r="L5" i="3"/>
  <c r="M5" i="3" s="1"/>
  <c r="L49" i="3"/>
  <c r="M49" i="3" s="1"/>
  <c r="L37" i="3"/>
  <c r="M37" i="3" s="1"/>
  <c r="L25" i="3"/>
  <c r="M25" i="3" s="1"/>
  <c r="L13" i="3"/>
  <c r="M13" i="3" s="1"/>
  <c r="L55" i="3"/>
  <c r="M55" i="3" s="1"/>
  <c r="L43" i="3"/>
  <c r="M43" i="3" s="1"/>
  <c r="L31" i="3"/>
  <c r="M31" i="3" s="1"/>
  <c r="L19" i="3"/>
  <c r="M19" i="3" s="1"/>
  <c r="L7" i="3"/>
  <c r="M7" i="3" s="1"/>
  <c r="K65" i="3"/>
  <c r="L4" i="3"/>
  <c r="D65" i="3"/>
  <c r="E51" i="3"/>
  <c r="F51" i="3" s="1"/>
  <c r="E39" i="3"/>
  <c r="F39" i="3" s="1"/>
  <c r="E27" i="3"/>
  <c r="F27" i="3" s="1"/>
  <c r="E15" i="3"/>
  <c r="F15" i="3" s="1"/>
  <c r="E50" i="3"/>
  <c r="F50" i="3" s="1"/>
  <c r="E38" i="3"/>
  <c r="F38" i="3" s="1"/>
  <c r="E26" i="3"/>
  <c r="F26" i="3" s="1"/>
  <c r="E14" i="3"/>
  <c r="F14" i="3" s="1"/>
  <c r="E49" i="3"/>
  <c r="F49" i="3" s="1"/>
  <c r="E37" i="3"/>
  <c r="F37" i="3" s="1"/>
  <c r="E25" i="3"/>
  <c r="F25" i="3" s="1"/>
  <c r="E13" i="3"/>
  <c r="F13" i="3" s="1"/>
  <c r="E48" i="3"/>
  <c r="F48" i="3" s="1"/>
  <c r="E36" i="3"/>
  <c r="F36" i="3" s="1"/>
  <c r="E24" i="3"/>
  <c r="F24" i="3" s="1"/>
  <c r="E12" i="3"/>
  <c r="F12" i="3" s="1"/>
  <c r="E59" i="3"/>
  <c r="F59" i="3" s="1"/>
  <c r="E47" i="3"/>
  <c r="F47" i="3" s="1"/>
  <c r="E35" i="3"/>
  <c r="F35" i="3" s="1"/>
  <c r="E23" i="3"/>
  <c r="F23" i="3" s="1"/>
  <c r="E11" i="3"/>
  <c r="F11" i="3" s="1"/>
  <c r="E58" i="3"/>
  <c r="F58" i="3" s="1"/>
  <c r="E46" i="3"/>
  <c r="F46" i="3" s="1"/>
  <c r="E34" i="3"/>
  <c r="F34" i="3" s="1"/>
  <c r="E22" i="3"/>
  <c r="F22" i="3" s="1"/>
  <c r="E10" i="3"/>
  <c r="F10" i="3" s="1"/>
  <c r="E57" i="3"/>
  <c r="F57" i="3" s="1"/>
  <c r="E45" i="3"/>
  <c r="F45" i="3" s="1"/>
  <c r="E33" i="3"/>
  <c r="F33" i="3" s="1"/>
  <c r="E21" i="3"/>
  <c r="F21" i="3" s="1"/>
  <c r="E9" i="3"/>
  <c r="F9" i="3" s="1"/>
  <c r="E56" i="3"/>
  <c r="F56" i="3" s="1"/>
  <c r="E44" i="3"/>
  <c r="F44" i="3" s="1"/>
  <c r="E32" i="3"/>
  <c r="F32" i="3" s="1"/>
  <c r="E20" i="3"/>
  <c r="F20" i="3" s="1"/>
  <c r="E8" i="3"/>
  <c r="F8" i="3" s="1"/>
  <c r="E4" i="3"/>
  <c r="G52" i="2"/>
  <c r="H52" i="2"/>
  <c r="C52" i="2"/>
  <c r="D4" i="2"/>
  <c r="D52" i="2" s="1"/>
  <c r="AA65" i="3" l="1"/>
  <c r="AO65" i="3"/>
  <c r="AH65" i="3"/>
  <c r="S65" i="3"/>
  <c r="T65" i="3"/>
  <c r="AN65" i="3"/>
  <c r="AG65" i="3"/>
  <c r="Z65" i="3"/>
  <c r="M4" i="3"/>
  <c r="M65" i="3" s="1"/>
  <c r="L65" i="3"/>
  <c r="F4" i="3"/>
  <c r="F65" i="3" s="1"/>
  <c r="E65" i="3"/>
</calcChain>
</file>

<file path=xl/sharedStrings.xml><?xml version="1.0" encoding="utf-8"?>
<sst xmlns="http://schemas.openxmlformats.org/spreadsheetml/2006/main" count="109" uniqueCount="20">
  <si>
    <t>L/D = 1.1</t>
  </si>
  <si>
    <t>L/D = 40</t>
  </si>
  <si>
    <t>alpha [%]</t>
  </si>
  <si>
    <t>r [m]</t>
  </si>
  <si>
    <t>Case A, JL = 1, JG = 0.037, P = 0.12MPa</t>
  </si>
  <si>
    <t>Case B, JL = 1, JG = 0.22, P = 0.12MPa</t>
  </si>
  <si>
    <t>Case C, JL = 1, JG = 0.53, P = 0.12 Mpa</t>
  </si>
  <si>
    <t>dA [m2]</t>
  </si>
  <si>
    <t>alpha*dA</t>
  </si>
  <si>
    <t>Sum:</t>
  </si>
  <si>
    <t>mean alpha</t>
  </si>
  <si>
    <t>d [m]</t>
  </si>
  <si>
    <t>dd [m]</t>
  </si>
  <si>
    <t>da/dd [%/mm]</t>
  </si>
  <si>
    <t>alpha_i</t>
  </si>
  <si>
    <t>N_i</t>
  </si>
  <si>
    <t>a_i</t>
  </si>
  <si>
    <t>dsm:</t>
  </si>
  <si>
    <t>sigma: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</si>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</sst>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NumberFormat="1" applyAlignment="1"/>
    <xf numFmtId="0" fontId="1" fillId="0" borderId="1" xfId="0" applyNumberFormat="1" applyFont="1" applyBorder="1" applyAlignment="1"/>
    <xf numFmtId="164" fontId="1" fillId="0" borderId="0" xfId="0" applyNumberFormat="1" applyFont="1" applyAlignment="1">
      <alignment horizontal="right"/>
    </xf>
    <xf numFmtId="0" fontId="0" fillId="0" borderId="1" xfId="0" applyBorder="1"/>
    <xf numFmtId="165" fontId="0" fillId="0" borderId="0" xfId="0" applyNumberFormat="1" applyAlignment="1"/>
    <xf numFmtId="165" fontId="0" fillId="0" borderId="0" xfId="0" applyNumberFormat="1"/>
    <xf numFmtId="165" fontId="1" fillId="0" borderId="1" xfId="0" applyNumberFormat="1" applyFont="1" applyBorder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10F5-A25D-4D9C-B0AF-9C3CE9F21AA3}">
  <dimension ref="A1:X54"/>
  <sheetViews>
    <sheetView tabSelected="1" zoomScale="85" zoomScaleNormal="85" workbookViewId="0"/>
  </sheetViews>
  <sheetFormatPr defaultRowHeight="15" x14ac:dyDescent="0.25"/>
  <cols>
    <col min="1" max="1" width="10.28515625" bestFit="1" customWidth="1"/>
    <col min="2" max="2" width="11" bestFit="1" customWidth="1"/>
    <col min="3" max="4" width="11" customWidth="1"/>
    <col min="5" max="5" width="10.28515625" bestFit="1" customWidth="1"/>
    <col min="6" max="6" width="10.5703125" bestFit="1" customWidth="1"/>
    <col min="7" max="8" width="10.5703125" customWidth="1"/>
    <col min="9" max="9" width="10.28515625" bestFit="1" customWidth="1"/>
    <col min="10" max="10" width="10.5703125" bestFit="1" customWidth="1"/>
    <col min="11" max="12" width="10.5703125" customWidth="1"/>
    <col min="13" max="13" width="10.28515625" bestFit="1" customWidth="1"/>
    <col min="14" max="14" width="10.5703125" bestFit="1" customWidth="1"/>
    <col min="15" max="16" width="10.5703125" customWidth="1"/>
    <col min="17" max="17" width="10.28515625" bestFit="1" customWidth="1"/>
    <col min="18" max="18" width="10.5703125" bestFit="1" customWidth="1"/>
    <col min="19" max="20" width="10.5703125" customWidth="1"/>
    <col min="21" max="21" width="10.28515625" bestFit="1" customWidth="1"/>
    <col min="22" max="22" width="10.5703125" bestFit="1" customWidth="1"/>
    <col min="23" max="23" width="10.28515625" bestFit="1" customWidth="1"/>
    <col min="24" max="24" width="10.7109375" bestFit="1" customWidth="1"/>
  </cols>
  <sheetData>
    <row r="1" spans="1:24" x14ac:dyDescent="0.25">
      <c r="A1" s="2" t="s">
        <v>4</v>
      </c>
      <c r="B1" s="2"/>
      <c r="C1" s="2"/>
      <c r="D1" s="2"/>
      <c r="E1" s="2"/>
      <c r="F1" s="2"/>
      <c r="G1" s="2"/>
      <c r="H1" s="2"/>
      <c r="I1" s="2" t="s">
        <v>5</v>
      </c>
      <c r="J1" s="2"/>
      <c r="K1" s="2"/>
      <c r="L1" s="2"/>
      <c r="M1" s="2"/>
      <c r="N1" s="2"/>
      <c r="O1" s="2"/>
      <c r="P1" s="2"/>
      <c r="Q1" s="2" t="s">
        <v>6</v>
      </c>
      <c r="R1" s="2"/>
      <c r="S1" s="2"/>
      <c r="T1" s="2"/>
      <c r="U1" s="2"/>
      <c r="V1" s="2"/>
    </row>
    <row r="2" spans="1:24" x14ac:dyDescent="0.25">
      <c r="A2" s="2" t="s">
        <v>0</v>
      </c>
      <c r="B2" s="2"/>
      <c r="C2" s="2"/>
      <c r="D2" s="2"/>
      <c r="E2" s="2" t="s">
        <v>1</v>
      </c>
      <c r="F2" s="2"/>
      <c r="G2" s="2"/>
      <c r="H2" s="2"/>
      <c r="I2" s="2" t="s">
        <v>0</v>
      </c>
      <c r="J2" s="2"/>
      <c r="K2" s="2"/>
      <c r="L2" s="2"/>
      <c r="M2" s="2" t="s">
        <v>1</v>
      </c>
      <c r="N2" s="2"/>
      <c r="O2" s="2"/>
      <c r="P2" s="2"/>
      <c r="Q2" s="2" t="s">
        <v>0</v>
      </c>
      <c r="R2" s="2"/>
      <c r="S2" s="2"/>
      <c r="T2" s="2"/>
      <c r="U2" s="2" t="s">
        <v>1</v>
      </c>
      <c r="V2" s="2"/>
    </row>
    <row r="3" spans="1:24" s="5" customFormat="1" x14ac:dyDescent="0.25">
      <c r="A3" s="3" t="s">
        <v>3</v>
      </c>
      <c r="B3" s="3" t="s">
        <v>2</v>
      </c>
      <c r="C3" s="3" t="s">
        <v>7</v>
      </c>
      <c r="D3" s="3" t="s">
        <v>8</v>
      </c>
      <c r="E3" s="3" t="s">
        <v>3</v>
      </c>
      <c r="F3" s="3" t="s">
        <v>2</v>
      </c>
      <c r="G3" s="3" t="s">
        <v>7</v>
      </c>
      <c r="H3" s="3" t="s">
        <v>8</v>
      </c>
      <c r="I3" s="3" t="s">
        <v>3</v>
      </c>
      <c r="J3" s="3" t="s">
        <v>2</v>
      </c>
      <c r="K3" s="3" t="s">
        <v>7</v>
      </c>
      <c r="L3" s="3" t="s">
        <v>8</v>
      </c>
      <c r="M3" s="3" t="s">
        <v>3</v>
      </c>
      <c r="N3" s="3" t="s">
        <v>2</v>
      </c>
      <c r="O3" s="3" t="s">
        <v>7</v>
      </c>
      <c r="P3" s="3" t="s">
        <v>8</v>
      </c>
      <c r="Q3" s="3" t="s">
        <v>3</v>
      </c>
      <c r="R3" s="3" t="s">
        <v>2</v>
      </c>
      <c r="S3" s="3" t="s">
        <v>7</v>
      </c>
      <c r="T3" s="3" t="s">
        <v>8</v>
      </c>
      <c r="U3" s="3" t="s">
        <v>3</v>
      </c>
      <c r="V3" s="3" t="s">
        <v>2</v>
      </c>
      <c r="W3" s="3" t="s">
        <v>7</v>
      </c>
      <c r="X3" s="3" t="s">
        <v>8</v>
      </c>
    </row>
    <row r="4" spans="1:24" x14ac:dyDescent="0.25">
      <c r="A4" s="1">
        <v>1.6977928999999999E-3</v>
      </c>
      <c r="B4" s="1">
        <v>1.1801731000000001E-3</v>
      </c>
      <c r="C4" s="1">
        <f>((A5+A4)/2)^2</f>
        <v>2.466159449974922E-5</v>
      </c>
      <c r="D4" s="1">
        <f>C4*B4</f>
        <v>2.9104950431711989E-8</v>
      </c>
      <c r="E4" s="1">
        <v>5.1468130000000001E-4</v>
      </c>
      <c r="F4" s="1">
        <v>3.5555224000000001</v>
      </c>
      <c r="G4" s="1">
        <f>((E5+E4)/2)^2</f>
        <v>1.6516558886065227E-6</v>
      </c>
      <c r="H4" s="1">
        <f>G4*F4</f>
        <v>5.8724995090323964E-6</v>
      </c>
      <c r="I4" s="1">
        <v>1.4579759999999999E-3</v>
      </c>
      <c r="J4" s="1">
        <v>0.12826288999999999</v>
      </c>
      <c r="K4" s="1">
        <f>((I5+I4)/2)^2</f>
        <v>1.7301602470880251E-5</v>
      </c>
      <c r="L4" s="1">
        <f>K4*J4</f>
        <v>2.2191535345462419E-6</v>
      </c>
      <c r="M4" s="1">
        <v>9.8476300000000004E-4</v>
      </c>
      <c r="N4" s="1">
        <v>18.553055000000001</v>
      </c>
      <c r="O4" s="1">
        <f>((M5+M4)/2)^2</f>
        <v>3.0807709201562502E-6</v>
      </c>
      <c r="P4" s="1">
        <f>O4*N4</f>
        <v>5.7157712324059521E-5</v>
      </c>
      <c r="Q4" s="1">
        <v>1.4514752000000001E-3</v>
      </c>
      <c r="R4" s="1">
        <v>0.18854857999999999</v>
      </c>
      <c r="S4" s="1">
        <f>((Q5+Q4)/2)^2</f>
        <v>8.9325494529164099E-6</v>
      </c>
      <c r="T4" s="1">
        <f>S4*R4</f>
        <v>1.684219515127166E-6</v>
      </c>
      <c r="U4" s="1">
        <v>1.1146814000000001E-3</v>
      </c>
      <c r="V4" s="1">
        <v>37.873013999999998</v>
      </c>
      <c r="W4" s="1">
        <f>((U5+U4)/2)^2</f>
        <v>8.1104572320936043E-6</v>
      </c>
      <c r="X4" s="1">
        <f>W4*V4</f>
        <v>3.0716746029748232E-4</v>
      </c>
    </row>
    <row r="5" spans="1:24" x14ac:dyDescent="0.25">
      <c r="A5" s="1">
        <v>8.2342953999999993E-3</v>
      </c>
      <c r="B5" s="1">
        <v>5.9629797999999996E-3</v>
      </c>
      <c r="C5" s="1">
        <f>((A6+A5)/2)^2 - ((A5+A4)/2)^2</f>
        <v>1.1357052651657728E-4</v>
      </c>
      <c r="D5" s="1">
        <f t="shared" ref="D5:D43" si="0">C5*B5</f>
        <v>6.7721875549371466E-7</v>
      </c>
      <c r="E5" s="1">
        <v>2.0556540000000001E-3</v>
      </c>
      <c r="F5" s="1">
        <v>3.5103346000000002</v>
      </c>
      <c r="G5" s="1">
        <f>((E6+E5)/2)^2 - ((E5+E4)/2)^2</f>
        <v>6.0649350159560391E-6</v>
      </c>
      <c r="H5" s="1">
        <f t="shared" ref="H5:H42" si="1">G5*F5</f>
        <v>2.1289951233262039E-5</v>
      </c>
      <c r="I5" s="1">
        <v>6.8610629999999997E-3</v>
      </c>
      <c r="J5" s="1">
        <v>8.6738176E-2</v>
      </c>
      <c r="K5" s="1">
        <f>((I6+I5)/2)^2 - ((I5+I4)/2)^2</f>
        <v>7.8288419839344747E-5</v>
      </c>
      <c r="L5" s="1">
        <f t="shared" ref="L5:L35" si="2">K5*J5</f>
        <v>6.7905947387869766E-6</v>
      </c>
      <c r="M5" s="1">
        <v>2.5256620000000001E-3</v>
      </c>
      <c r="N5" s="1">
        <v>18.360129000000001</v>
      </c>
      <c r="O5" s="1">
        <f>((M6+M5)/2)^2 - ((M5+M4)/2)^2</f>
        <v>6.8974234134277478E-6</v>
      </c>
      <c r="P5" s="1">
        <f t="shared" ref="P5:P42" si="3">O5*N5</f>
        <v>1.2663758363815378E-4</v>
      </c>
      <c r="Q5" s="1">
        <v>4.5259990000000002E-3</v>
      </c>
      <c r="R5" s="1">
        <v>0.10833342</v>
      </c>
      <c r="S5" s="1">
        <f>((Q6+Q5)/2)^2 - ((Q5+Q4)/2)^2</f>
        <v>3.1541059928796153E-5</v>
      </c>
      <c r="T5" s="1">
        <f t="shared" ref="T5:T41" si="4">S5*R5</f>
        <v>3.4169508925114438E-6</v>
      </c>
      <c r="U5" s="1">
        <v>4.5810915000000004E-3</v>
      </c>
      <c r="V5" s="1">
        <v>37.604930000000003</v>
      </c>
      <c r="W5" s="1">
        <f>((U6+U5)/2)^2 - ((U5+U4)/2)^2</f>
        <v>3.5395767394753925E-5</v>
      </c>
      <c r="X5" s="1">
        <f t="shared" ref="X5:X30" si="5">W5*V5</f>
        <v>1.3310553551760039E-3</v>
      </c>
    </row>
    <row r="6" spans="1:24" x14ac:dyDescent="0.25">
      <c r="A6" s="1">
        <v>1.5280136E-2</v>
      </c>
      <c r="B6" s="1">
        <v>-6.2052258999999999E-2</v>
      </c>
      <c r="C6" s="1">
        <f t="shared" ref="C6:C42" si="6">((A7+A6)/2)^2 - ((A6+A5)/2)^2</f>
        <v>2.4297858702959752E-4</v>
      </c>
      <c r="D6" s="1">
        <f t="shared" si="0"/>
        <v>-1.5077370213814625E-5</v>
      </c>
      <c r="E6" s="1">
        <v>3.5000965E-3</v>
      </c>
      <c r="F6" s="1">
        <v>3.3814171000000002</v>
      </c>
      <c r="G6" s="1">
        <f t="shared" ref="G6:G41" si="7">((E7+E6)/2)^2 - ((E6+E5)/2)^2</f>
        <v>1.0905548992012505E-5</v>
      </c>
      <c r="H6" s="1">
        <f t="shared" si="1"/>
        <v>3.6876209846478848E-5</v>
      </c>
      <c r="I6" s="1">
        <v>1.2692966999999999E-2</v>
      </c>
      <c r="J6" s="1">
        <v>4.6794349999999998E-2</v>
      </c>
      <c r="K6" s="1">
        <f t="shared" ref="K6:K34" si="8">((I7+I6)/2)^2 - ((I6+I5)/2)^2</f>
        <v>1.9715444667950399E-4</v>
      </c>
      <c r="L6" s="1">
        <f t="shared" si="2"/>
        <v>9.2257141819770467E-6</v>
      </c>
      <c r="M6" s="1">
        <v>3.7919939999999999E-3</v>
      </c>
      <c r="N6" s="1">
        <v>17.909967999999999</v>
      </c>
      <c r="O6" s="1">
        <f t="shared" ref="O6:O41" si="9">((M7+M6)/2)^2 - ((M6+M5)/2)^2</f>
        <v>9.6064310707200003E-6</v>
      </c>
      <c r="P6" s="1">
        <f t="shared" si="3"/>
        <v>1.7205087307080094E-4</v>
      </c>
      <c r="Q6" s="1">
        <v>8.1977755000000006E-3</v>
      </c>
      <c r="R6" s="1">
        <v>0.21323016</v>
      </c>
      <c r="S6" s="1">
        <f t="shared" ref="S6:S41" si="10">((Q7+Q6)/2)^2 - ((Q6+Q5)/2)^2</f>
        <v>5.935359033270149E-5</v>
      </c>
      <c r="T6" s="1">
        <f t="shared" si="4"/>
        <v>1.2655975563216392E-5</v>
      </c>
      <c r="U6" s="1">
        <v>8.6107582000000005E-3</v>
      </c>
      <c r="V6" s="1">
        <v>37.535806999999998</v>
      </c>
      <c r="W6" s="1">
        <f t="shared" ref="W6:W29" si="11">((U7+U6)/2)^2 - ((U6+U5)/2)^2</f>
        <v>6.5422763439558504E-5</v>
      </c>
      <c r="X6" s="1">
        <f t="shared" si="5"/>
        <v>2.455696221873924E-3</v>
      </c>
    </row>
    <row r="7" spans="1:24" x14ac:dyDescent="0.25">
      <c r="A7" s="1">
        <v>2.3769100000000001E-2</v>
      </c>
      <c r="B7" s="1">
        <v>-5.5840821999999998E-2</v>
      </c>
      <c r="C7" s="1">
        <f t="shared" si="6"/>
        <v>3.8699191806556822E-4</v>
      </c>
      <c r="D7" s="1">
        <f t="shared" si="0"/>
        <v>-2.1609946812137979E-5</v>
      </c>
      <c r="E7" s="1">
        <v>5.1305789999999997E-3</v>
      </c>
      <c r="F7" s="1">
        <v>3.3168997999999998</v>
      </c>
      <c r="G7" s="1">
        <f t="shared" si="7"/>
        <v>2.471268793032129E-5</v>
      </c>
      <c r="H7" s="1">
        <f t="shared" si="1"/>
        <v>8.1969509653545089E-5</v>
      </c>
      <c r="I7" s="1">
        <v>2.1526587E-2</v>
      </c>
      <c r="J7" s="1">
        <v>0.14080461999999999</v>
      </c>
      <c r="K7" s="1">
        <f t="shared" si="8"/>
        <v>3.1945725389708124E-4</v>
      </c>
      <c r="L7" s="1">
        <f t="shared" si="2"/>
        <v>4.4981057241222038E-5</v>
      </c>
      <c r="M7" s="1">
        <v>5.0589099999999998E-3</v>
      </c>
      <c r="N7" s="1">
        <v>17.524115999999999</v>
      </c>
      <c r="O7" s="1">
        <f t="shared" si="9"/>
        <v>1.6557943468856996E-5</v>
      </c>
      <c r="P7" s="1">
        <f t="shared" si="3"/>
        <v>2.9016332206969239E-4</v>
      </c>
      <c r="Q7" s="1">
        <v>1.1784937000000001E-2</v>
      </c>
      <c r="R7" s="1">
        <v>4.3427095999999998E-2</v>
      </c>
      <c r="S7" s="1">
        <f t="shared" si="10"/>
        <v>8.1072677545092188E-5</v>
      </c>
      <c r="T7" s="1">
        <f t="shared" si="4"/>
        <v>3.5207509507277626E-6</v>
      </c>
      <c r="U7" s="1">
        <v>1.2263052E-2</v>
      </c>
      <c r="V7" s="1">
        <v>36.935372999999998</v>
      </c>
      <c r="W7" s="1">
        <f t="shared" si="11"/>
        <v>7.9170604852134215E-5</v>
      </c>
      <c r="X7" s="1">
        <f t="shared" si="5"/>
        <v>2.9241958208491869E-3</v>
      </c>
    </row>
    <row r="8" spans="1:24" x14ac:dyDescent="0.25">
      <c r="A8" s="1">
        <v>3.1663837E-2</v>
      </c>
      <c r="B8" s="1">
        <v>5.9691912999999999E-2</v>
      </c>
      <c r="C8" s="1">
        <f t="shared" si="6"/>
        <v>4.8188204716434003E-4</v>
      </c>
      <c r="D8" s="1">
        <f t="shared" si="0"/>
        <v>2.8764461235595681E-5</v>
      </c>
      <c r="E8" s="1">
        <v>8.0352597999999997E-3</v>
      </c>
      <c r="F8" s="1">
        <v>3.2909478000000001</v>
      </c>
      <c r="G8" s="1">
        <f t="shared" si="7"/>
        <v>4.3282171199188794E-5</v>
      </c>
      <c r="H8" s="1">
        <f t="shared" si="1"/>
        <v>1.4243936608719372E-4</v>
      </c>
      <c r="I8" s="1">
        <v>2.7958833999999998E-2</v>
      </c>
      <c r="J8" s="1">
        <v>0.22596190999999999</v>
      </c>
      <c r="K8" s="1">
        <f t="shared" si="8"/>
        <v>3.5700440205089015E-4</v>
      </c>
      <c r="L8" s="1">
        <f t="shared" si="2"/>
        <v>8.0669396565827048E-5</v>
      </c>
      <c r="M8" s="1">
        <v>6.9648280000000002E-3</v>
      </c>
      <c r="N8" s="1">
        <v>17.556270000000001</v>
      </c>
      <c r="O8" s="1">
        <f t="shared" si="9"/>
        <v>3.093145907284125E-5</v>
      </c>
      <c r="P8" s="1">
        <f t="shared" si="3"/>
        <v>5.4304104697675069E-4</v>
      </c>
      <c r="Q8" s="1">
        <v>1.5114868E-2</v>
      </c>
      <c r="R8" s="1">
        <v>0.23853659999999999</v>
      </c>
      <c r="S8" s="1">
        <f t="shared" si="10"/>
        <v>1.2258077186490972E-4</v>
      </c>
      <c r="T8" s="1">
        <f t="shared" si="4"/>
        <v>2.9240000546031222E-5</v>
      </c>
      <c r="U8" s="1">
        <v>1.5166829E-2</v>
      </c>
      <c r="V8" s="1">
        <v>36.601218000000003</v>
      </c>
      <c r="W8" s="1">
        <f t="shared" si="11"/>
        <v>1.0709386870948474E-4</v>
      </c>
      <c r="X8" s="1">
        <f t="shared" si="5"/>
        <v>3.9197660350992298E-3</v>
      </c>
    </row>
    <row r="9" spans="1:24" x14ac:dyDescent="0.25">
      <c r="A9" s="1">
        <v>3.9049236000000001E-2</v>
      </c>
      <c r="B9" s="1">
        <v>2.8510496999999999E-2</v>
      </c>
      <c r="C9" s="1">
        <f t="shared" si="6"/>
        <v>5.8768963705706787E-4</v>
      </c>
      <c r="D9" s="1">
        <f t="shared" si="0"/>
        <v>1.6755323634246621E-5</v>
      </c>
      <c r="E9" s="1">
        <v>1.0578390999999999E-2</v>
      </c>
      <c r="F9" s="1">
        <v>3.2907839999999999</v>
      </c>
      <c r="G9" s="1">
        <f t="shared" si="7"/>
        <v>5.9295762972575087E-5</v>
      </c>
      <c r="H9" s="1">
        <f t="shared" si="1"/>
        <v>1.9512954805794253E-4</v>
      </c>
      <c r="I9" s="1">
        <v>3.4305317000000002E-2</v>
      </c>
      <c r="J9" s="1">
        <v>0.24935908000000001</v>
      </c>
      <c r="K9" s="1">
        <f t="shared" si="8"/>
        <v>4.2901503036711988E-4</v>
      </c>
      <c r="L9" s="1">
        <f t="shared" si="2"/>
        <v>1.0697879327851708E-4</v>
      </c>
      <c r="M9" s="1">
        <v>9.4149190000000008E-3</v>
      </c>
      <c r="N9" s="1">
        <v>17.556270000000001</v>
      </c>
      <c r="O9" s="1">
        <f t="shared" si="9"/>
        <v>4.3278255266028003E-5</v>
      </c>
      <c r="P9" s="1">
        <f t="shared" si="3"/>
        <v>7.5980473457930948E-4</v>
      </c>
      <c r="Q9" s="1">
        <v>1.9726523999999999E-2</v>
      </c>
      <c r="R9" s="1">
        <v>0.16394510000000001</v>
      </c>
      <c r="S9" s="1">
        <f t="shared" si="10"/>
        <v>1.5594933900070805E-4</v>
      </c>
      <c r="T9" s="1">
        <f t="shared" si="4"/>
        <v>2.5567129977404983E-5</v>
      </c>
      <c r="U9" s="1">
        <v>1.9195561E-2</v>
      </c>
      <c r="V9" s="1">
        <v>36.33276</v>
      </c>
      <c r="W9" s="1">
        <f t="shared" si="11"/>
        <v>1.5467415923886389E-4</v>
      </c>
      <c r="X9" s="1">
        <f t="shared" si="5"/>
        <v>5.6197391058274244E-3</v>
      </c>
    </row>
    <row r="10" spans="1:24" x14ac:dyDescent="0.25">
      <c r="A10" s="1">
        <v>4.6689304000000001E-2</v>
      </c>
      <c r="B10" s="1">
        <v>7.0686156999999999E-2</v>
      </c>
      <c r="C10" s="1">
        <f t="shared" si="6"/>
        <v>7.3921009636314871E-4</v>
      </c>
      <c r="D10" s="1">
        <f t="shared" si="0"/>
        <v>5.2251920927510661E-5</v>
      </c>
      <c r="E10" s="1">
        <v>1.3580480000000001E-2</v>
      </c>
      <c r="F10" s="1">
        <v>3.3614440999999999</v>
      </c>
      <c r="G10" s="1">
        <f t="shared" si="7"/>
        <v>7.4690054112955793E-5</v>
      </c>
      <c r="H10" s="1">
        <f t="shared" si="1"/>
        <v>2.51066441726676E-4</v>
      </c>
      <c r="I10" s="1">
        <v>4.0480273999999997E-2</v>
      </c>
      <c r="J10" s="1">
        <v>0.21067996999999999</v>
      </c>
      <c r="K10" s="1">
        <f t="shared" si="8"/>
        <v>5.0740830385743595E-4</v>
      </c>
      <c r="L10" s="1">
        <f t="shared" si="2"/>
        <v>1.0690076623443549E-4</v>
      </c>
      <c r="M10" s="1">
        <v>1.159482E-2</v>
      </c>
      <c r="N10" s="1">
        <v>17.78135</v>
      </c>
      <c r="O10" s="1">
        <f t="shared" si="9"/>
        <v>6.226766254505077E-5</v>
      </c>
      <c r="P10" s="1">
        <f t="shared" si="3"/>
        <v>1.1072031013954384E-3</v>
      </c>
      <c r="Q10" s="1">
        <v>2.3142111999999999E-2</v>
      </c>
      <c r="R10" s="1">
        <v>0.26790456000000001</v>
      </c>
      <c r="S10" s="1">
        <f t="shared" si="10"/>
        <v>1.6663141212083684E-4</v>
      </c>
      <c r="T10" s="1">
        <f t="shared" si="4"/>
        <v>4.4641315146411464E-5</v>
      </c>
      <c r="U10" s="1">
        <v>2.3224604999999999E-2</v>
      </c>
      <c r="V10" s="1">
        <v>36.130747999999997</v>
      </c>
      <c r="W10" s="1">
        <f t="shared" si="11"/>
        <v>1.8947417330679212E-4</v>
      </c>
      <c r="X10" s="1">
        <f t="shared" si="5"/>
        <v>6.8458436082560322E-3</v>
      </c>
    </row>
    <row r="11" spans="1:24" x14ac:dyDescent="0.25">
      <c r="A11" s="1">
        <v>5.4838709999999999E-2</v>
      </c>
      <c r="B11" s="1">
        <v>0.1132345</v>
      </c>
      <c r="C11" s="1">
        <f t="shared" si="6"/>
        <v>8.938057656991071E-4</v>
      </c>
      <c r="D11" s="1">
        <f t="shared" si="0"/>
        <v>1.0120964897605554E-4</v>
      </c>
      <c r="E11" s="1">
        <v>1.6124928E-2</v>
      </c>
      <c r="F11" s="1">
        <v>3.3806039000000001</v>
      </c>
      <c r="G11" s="1">
        <f t="shared" si="7"/>
        <v>8.838840068569996E-5</v>
      </c>
      <c r="H11" s="1">
        <f t="shared" si="1"/>
        <v>2.9880617207283996E-4</v>
      </c>
      <c r="I11" s="1">
        <v>4.6826758000000003E-2</v>
      </c>
      <c r="J11" s="1">
        <v>0.23407713999999999</v>
      </c>
      <c r="K11" s="1">
        <f t="shared" si="8"/>
        <v>6.5476525255539356E-4</v>
      </c>
      <c r="L11" s="1">
        <f t="shared" si="2"/>
        <v>1.5326557768954421E-4</v>
      </c>
      <c r="M11" s="1">
        <v>1.4682162E-2</v>
      </c>
      <c r="N11" s="1">
        <v>18.006430999999999</v>
      </c>
      <c r="O11" s="1">
        <f t="shared" si="9"/>
        <v>1.055535005964752E-4</v>
      </c>
      <c r="P11" s="1">
        <f t="shared" si="3"/>
        <v>1.9006418252988893E-3</v>
      </c>
      <c r="Q11" s="1">
        <v>2.6900325999999999E-2</v>
      </c>
      <c r="R11" s="1">
        <v>7.2638846999999998E-3</v>
      </c>
      <c r="S11" s="1">
        <f t="shared" si="10"/>
        <v>2.0461633796591938E-4</v>
      </c>
      <c r="T11" s="1">
        <f t="shared" si="4"/>
        <v>1.4863094867206708E-6</v>
      </c>
      <c r="U11" s="1">
        <v>2.7345813E-2</v>
      </c>
      <c r="V11" s="1">
        <v>35.596448000000002</v>
      </c>
      <c r="W11" s="1">
        <f t="shared" si="11"/>
        <v>2.4475799001435941E-4</v>
      </c>
      <c r="X11" s="1">
        <f t="shared" si="5"/>
        <v>8.7125150641306649E-3</v>
      </c>
    </row>
    <row r="12" spans="1:24" x14ac:dyDescent="0.25">
      <c r="A12" s="1">
        <v>6.2988114999999997E-2</v>
      </c>
      <c r="B12" s="1">
        <v>8.2612115999999999E-2</v>
      </c>
      <c r="C12" s="1">
        <f t="shared" si="6"/>
        <v>9.8120318590918295E-4</v>
      </c>
      <c r="D12" s="1">
        <f t="shared" si="0"/>
        <v>8.1059271413898989E-5</v>
      </c>
      <c r="E12" s="1">
        <v>1.9031363999999999E-2</v>
      </c>
      <c r="F12" s="1">
        <v>3.3804167000000001</v>
      </c>
      <c r="G12" s="1">
        <f t="shared" si="7"/>
        <v>1.18129208142348E-4</v>
      </c>
      <c r="H12" s="1">
        <f t="shared" si="1"/>
        <v>3.9932594796216917E-4</v>
      </c>
      <c r="I12" s="1">
        <v>5.4373928000000002E-2</v>
      </c>
      <c r="J12" s="1">
        <v>0.44623260999999997</v>
      </c>
      <c r="K12" s="1">
        <f t="shared" si="8"/>
        <v>7.8096082636949088E-4</v>
      </c>
      <c r="L12" s="1">
        <f t="shared" si="2"/>
        <v>3.484901878586147E-4</v>
      </c>
      <c r="M12" s="1">
        <v>1.8674903E-2</v>
      </c>
      <c r="N12" s="1">
        <v>18.006430999999999</v>
      </c>
      <c r="O12" s="1">
        <f t="shared" si="9"/>
        <v>1.3425939042224999E-4</v>
      </c>
      <c r="P12" s="1">
        <f t="shared" si="3"/>
        <v>2.4175324497403053E-3</v>
      </c>
      <c r="Q12" s="1">
        <v>3.0742635000000001E-2</v>
      </c>
      <c r="R12" s="1">
        <v>0.20424793999999999</v>
      </c>
      <c r="S12" s="1">
        <f t="shared" si="10"/>
        <v>2.1957483195572019E-4</v>
      </c>
      <c r="T12" s="1">
        <f t="shared" si="4"/>
        <v>4.4847707102802017E-5</v>
      </c>
      <c r="U12" s="1">
        <v>3.2121818000000003E-2</v>
      </c>
      <c r="V12" s="1">
        <v>34.795932000000001</v>
      </c>
      <c r="W12" s="1">
        <f t="shared" si="11"/>
        <v>3.1328370764162968E-4</v>
      </c>
      <c r="X12" s="1">
        <f t="shared" si="5"/>
        <v>1.0900998587806026E-2</v>
      </c>
    </row>
    <row r="13" spans="1:24" x14ac:dyDescent="0.25">
      <c r="A13" s="1">
        <v>7.0458404000000002E-2</v>
      </c>
      <c r="B13" s="1">
        <v>0.16124891</v>
      </c>
      <c r="C13" s="1">
        <f t="shared" si="6"/>
        <v>1.0212429424886369E-3</v>
      </c>
      <c r="D13" s="1">
        <f t="shared" si="0"/>
        <v>1.646743113214854E-4</v>
      </c>
      <c r="E13" s="1">
        <v>2.230242E-2</v>
      </c>
      <c r="F13" s="1">
        <v>3.3995296000000002</v>
      </c>
      <c r="G13" s="1">
        <f t="shared" si="7"/>
        <v>1.5680625999096105E-4</v>
      </c>
      <c r="H13" s="1">
        <f t="shared" si="1"/>
        <v>5.3306752230456789E-4</v>
      </c>
      <c r="I13" s="1">
        <v>6.1234991000000003E-2</v>
      </c>
      <c r="J13" s="1">
        <v>0.53297077999999998</v>
      </c>
      <c r="K13" s="1">
        <f t="shared" si="8"/>
        <v>7.5749910311366433E-4</v>
      </c>
      <c r="L13" s="1">
        <f t="shared" si="2"/>
        <v>4.0372488783579007E-4</v>
      </c>
      <c r="M13" s="1">
        <v>2.1941981999999999E-2</v>
      </c>
      <c r="N13" s="1">
        <v>18.038585000000001</v>
      </c>
      <c r="O13" s="1">
        <f t="shared" si="9"/>
        <v>1.3906083985370003E-4</v>
      </c>
      <c r="P13" s="1">
        <f t="shared" si="3"/>
        <v>2.5084607798723556E-3</v>
      </c>
      <c r="Q13" s="1">
        <v>3.4072565999999999E-2</v>
      </c>
      <c r="R13" s="1">
        <v>0.39935745</v>
      </c>
      <c r="S13" s="1">
        <f t="shared" si="10"/>
        <v>2.2390576271306972E-4</v>
      </c>
      <c r="T13" s="1">
        <f t="shared" si="4"/>
        <v>8.941843443739661E-5</v>
      </c>
      <c r="U13" s="1">
        <v>3.7084641000000002E-2</v>
      </c>
      <c r="V13" s="1">
        <v>33.862402000000003</v>
      </c>
      <c r="W13" s="1">
        <f t="shared" si="11"/>
        <v>4.0913188753856984E-4</v>
      </c>
      <c r="X13" s="1">
        <f t="shared" si="5"/>
        <v>1.3854188446849844E-2</v>
      </c>
    </row>
    <row r="14" spans="1:24" x14ac:dyDescent="0.25">
      <c r="A14" s="1">
        <v>7.7504244E-2</v>
      </c>
      <c r="B14" s="1">
        <v>0.20298977000000001</v>
      </c>
      <c r="C14" s="1">
        <f t="shared" si="6"/>
        <v>7.9300478397308083E-4</v>
      </c>
      <c r="D14" s="1">
        <f t="shared" si="0"/>
        <v>1.6097185870759539E-4</v>
      </c>
      <c r="E14" s="1">
        <v>2.6026730000000001E-2</v>
      </c>
      <c r="F14" s="1">
        <v>3.4057309999999998</v>
      </c>
      <c r="G14" s="1">
        <f t="shared" si="7"/>
        <v>1.3419939278712519E-4</v>
      </c>
      <c r="H14" s="1">
        <f t="shared" si="1"/>
        <v>4.5704703219628863E-4</v>
      </c>
      <c r="I14" s="1">
        <v>6.6809604999999994E-2</v>
      </c>
      <c r="J14" s="1">
        <v>1.3522935</v>
      </c>
      <c r="K14" s="1">
        <f t="shared" si="8"/>
        <v>6.14450617961451E-4</v>
      </c>
      <c r="L14" s="1">
        <f t="shared" si="2"/>
        <v>8.3091757674025346E-4</v>
      </c>
      <c r="M14" s="1">
        <v>2.5025822999999999E-2</v>
      </c>
      <c r="N14" s="1">
        <v>17.877814000000001</v>
      </c>
      <c r="O14" s="1">
        <f t="shared" si="9"/>
        <v>1.7126548452707404E-4</v>
      </c>
      <c r="P14" s="1">
        <f t="shared" si="3"/>
        <v>3.0618524769949079E-3</v>
      </c>
      <c r="Q14" s="1">
        <v>3.7318142999999998E-2</v>
      </c>
      <c r="R14" s="1">
        <v>0.22830468000000001</v>
      </c>
      <c r="S14" s="1">
        <f t="shared" si="10"/>
        <v>2.1244674740365376E-4</v>
      </c>
      <c r="T14" s="1">
        <f t="shared" si="4"/>
        <v>4.8502586683032001E-5</v>
      </c>
      <c r="U14" s="1">
        <v>4.3078077999999999E-2</v>
      </c>
      <c r="V14" s="1">
        <v>32.861742</v>
      </c>
      <c r="W14" s="1">
        <f t="shared" si="11"/>
        <v>4.3514747318269234E-4</v>
      </c>
      <c r="X14" s="1">
        <f t="shared" si="5"/>
        <v>1.4299703995681555E-2</v>
      </c>
    </row>
    <row r="15" spans="1:24" x14ac:dyDescent="0.25">
      <c r="A15" s="1">
        <v>8.0814941000000001E-2</v>
      </c>
      <c r="B15" s="1">
        <v>0.31516833</v>
      </c>
      <c r="C15" s="1">
        <f t="shared" si="6"/>
        <v>4.0967543349746619E-4</v>
      </c>
      <c r="D15" s="1">
        <f t="shared" si="0"/>
        <v>1.2911672221742248E-4</v>
      </c>
      <c r="E15" s="1">
        <v>2.7569019E-2</v>
      </c>
      <c r="F15" s="1">
        <v>3.3798667</v>
      </c>
      <c r="G15" s="1">
        <f t="shared" si="7"/>
        <v>7.7310516630960048E-5</v>
      </c>
      <c r="H15" s="1">
        <f t="shared" si="1"/>
        <v>2.6129924072077805E-4</v>
      </c>
      <c r="I15" s="1">
        <v>7.0497427000000001E-2</v>
      </c>
      <c r="J15" s="1">
        <v>3.2092071</v>
      </c>
      <c r="K15" s="1">
        <f t="shared" si="8"/>
        <v>4.2116694215633618E-4</v>
      </c>
      <c r="L15" s="1">
        <f t="shared" si="2"/>
        <v>1.3516119410534033E-3</v>
      </c>
      <c r="M15" s="1">
        <v>2.8742538000000002E-2</v>
      </c>
      <c r="N15" s="1">
        <v>17.459807000000001</v>
      </c>
      <c r="O15" s="1">
        <f t="shared" si="9"/>
        <v>1.8611057521204181E-4</v>
      </c>
      <c r="P15" s="1">
        <f t="shared" si="3"/>
        <v>3.2494547238612341E-3</v>
      </c>
      <c r="Q15" s="1">
        <v>3.9794892999999998E-2</v>
      </c>
      <c r="R15" s="1">
        <v>0.14590254</v>
      </c>
      <c r="S15" s="1">
        <f t="shared" si="10"/>
        <v>1.9709195564568188E-4</v>
      </c>
      <c r="T15" s="1">
        <f t="shared" si="4"/>
        <v>2.8756216942272327E-5</v>
      </c>
      <c r="U15" s="1">
        <v>4.7291448999999999E-2</v>
      </c>
      <c r="V15" s="1">
        <v>31.995155</v>
      </c>
      <c r="W15" s="1">
        <f t="shared" si="11"/>
        <v>4.4953336179040819E-4</v>
      </c>
      <c r="X15" s="1">
        <f t="shared" si="5"/>
        <v>1.4382889588155187E-2</v>
      </c>
    </row>
    <row r="16" spans="1:24" x14ac:dyDescent="0.25">
      <c r="A16" s="1">
        <v>8.2597622999999995E-2</v>
      </c>
      <c r="B16" s="1">
        <v>1.1945215</v>
      </c>
      <c r="C16" s="1">
        <f t="shared" si="6"/>
        <v>2.7324483799337582E-4</v>
      </c>
      <c r="D16" s="1">
        <f t="shared" si="0"/>
        <v>3.263968337471043E-4</v>
      </c>
      <c r="E16" s="1">
        <v>2.8837952E-2</v>
      </c>
      <c r="F16" s="1">
        <v>3.3411377</v>
      </c>
      <c r="G16" s="1">
        <f t="shared" si="7"/>
        <v>1.1673018965709071E-4</v>
      </c>
      <c r="H16" s="1">
        <f t="shared" si="1"/>
        <v>3.9001163739145581E-4</v>
      </c>
      <c r="I16" s="1">
        <v>7.2813035999999998E-2</v>
      </c>
      <c r="J16" s="1">
        <v>6.2284965999999997</v>
      </c>
      <c r="K16" s="1">
        <f t="shared" si="8"/>
        <v>4.0721933700539007E-4</v>
      </c>
      <c r="L16" s="1">
        <f t="shared" si="2"/>
        <v>2.536364255992326E-3</v>
      </c>
      <c r="M16" s="1">
        <v>3.1552394999999997E-2</v>
      </c>
      <c r="N16" s="1">
        <v>17.106109</v>
      </c>
      <c r="O16" s="1">
        <f t="shared" si="9"/>
        <v>2.4404739975069994E-4</v>
      </c>
      <c r="P16" s="1">
        <f t="shared" si="3"/>
        <v>4.1747014213020456E-3</v>
      </c>
      <c r="Q16" s="1">
        <v>4.2270861999999999E-2</v>
      </c>
      <c r="R16" s="1">
        <v>0.33788780000000002</v>
      </c>
      <c r="S16" s="1">
        <f t="shared" si="10"/>
        <v>2.4293264976209456E-4</v>
      </c>
      <c r="T16" s="1">
        <f t="shared" si="4"/>
        <v>8.2083978576284655E-5</v>
      </c>
      <c r="U16" s="1">
        <v>5.253232E-2</v>
      </c>
      <c r="V16" s="1">
        <v>30.396988</v>
      </c>
      <c r="W16" s="1">
        <f t="shared" si="11"/>
        <v>5.043898628014163E-4</v>
      </c>
      <c r="X16" s="1">
        <f t="shared" si="5"/>
        <v>1.5331932606896298E-2</v>
      </c>
    </row>
    <row r="17" spans="1:24" x14ac:dyDescent="0.25">
      <c r="A17" s="1">
        <v>8.4125637000000003E-2</v>
      </c>
      <c r="B17" s="1">
        <v>2.1468590999999999</v>
      </c>
      <c r="C17" s="1">
        <f t="shared" si="6"/>
        <v>1.9237986211270014E-4</v>
      </c>
      <c r="D17" s="1">
        <f t="shared" si="0"/>
        <v>4.1301245763339552E-4</v>
      </c>
      <c r="E17" s="1">
        <v>3.1566245999999999E-2</v>
      </c>
      <c r="F17" s="1">
        <v>3.3924916999999999</v>
      </c>
      <c r="G17" s="1">
        <f t="shared" si="7"/>
        <v>1.5146570579183994E-4</v>
      </c>
      <c r="H17" s="1">
        <f t="shared" si="1"/>
        <v>5.1384614973345891E-4</v>
      </c>
      <c r="I17" s="1">
        <v>7.6072041000000007E-2</v>
      </c>
      <c r="J17" s="1">
        <v>10.111478999999999</v>
      </c>
      <c r="K17" s="1">
        <f t="shared" si="8"/>
        <v>3.7648320342229414E-4</v>
      </c>
      <c r="L17" s="1">
        <f t="shared" si="2"/>
        <v>3.8068020052572549E-3</v>
      </c>
      <c r="M17" s="1">
        <v>3.6356871999999998E-2</v>
      </c>
      <c r="N17" s="1">
        <v>16.559486</v>
      </c>
      <c r="O17" s="1">
        <f t="shared" si="9"/>
        <v>2.8678712347990289E-4</v>
      </c>
      <c r="P17" s="1">
        <f t="shared" si="3"/>
        <v>4.7490473562457232E-3</v>
      </c>
      <c r="Q17" s="1">
        <v>4.5515918000000002E-2</v>
      </c>
      <c r="R17" s="1">
        <v>0.34975994999999999</v>
      </c>
      <c r="S17" s="1">
        <f t="shared" si="10"/>
        <v>3.3990388032352492E-4</v>
      </c>
      <c r="T17" s="1">
        <f t="shared" si="4"/>
        <v>1.1888476418676206E-4</v>
      </c>
      <c r="U17" s="1">
        <v>5.6931574999999998E-2</v>
      </c>
      <c r="V17" s="1">
        <v>29.198052000000001</v>
      </c>
      <c r="W17" s="1">
        <f t="shared" si="11"/>
        <v>4.6779627356581489E-4</v>
      </c>
      <c r="X17" s="1">
        <f t="shared" si="5"/>
        <v>1.3658739920980888E-2</v>
      </c>
    </row>
    <row r="18" spans="1:24" x14ac:dyDescent="0.25">
      <c r="A18" s="1">
        <v>8.4889643000000001E-2</v>
      </c>
      <c r="B18" s="1">
        <v>3.3181498</v>
      </c>
      <c r="C18" s="1">
        <f t="shared" si="6"/>
        <v>1.2971247845136244E-4</v>
      </c>
      <c r="D18" s="1">
        <f t="shared" si="0"/>
        <v>4.304054344308926E-4</v>
      </c>
      <c r="E18" s="1">
        <v>3.3660511999999997E-2</v>
      </c>
      <c r="F18" s="1">
        <v>3.4696514999999999</v>
      </c>
      <c r="G18" s="1">
        <f t="shared" si="7"/>
        <v>1.6301740537020258E-4</v>
      </c>
      <c r="H18" s="1">
        <f t="shared" si="1"/>
        <v>5.6561358506883146E-4</v>
      </c>
      <c r="I18" s="1">
        <v>7.7787307E-2</v>
      </c>
      <c r="J18" s="1">
        <v>14.357434</v>
      </c>
      <c r="K18" s="1">
        <f t="shared" si="8"/>
        <v>2.6010885869114618E-4</v>
      </c>
      <c r="L18" s="1">
        <f t="shared" si="2"/>
        <v>3.7344957714734576E-3</v>
      </c>
      <c r="M18" s="1">
        <v>3.9529997999999997E-2</v>
      </c>
      <c r="N18" s="1">
        <v>16.237942</v>
      </c>
      <c r="O18" s="1">
        <f t="shared" si="9"/>
        <v>2.2118604957725913E-4</v>
      </c>
      <c r="P18" s="1">
        <f t="shared" si="3"/>
        <v>3.5916062442446586E-3</v>
      </c>
      <c r="Q18" s="1">
        <v>4.9700332E-2</v>
      </c>
      <c r="R18" s="1">
        <v>0.36506878999999998</v>
      </c>
      <c r="S18" s="1">
        <f t="shared" si="10"/>
        <v>3.1951245180313536E-4</v>
      </c>
      <c r="T18" s="1">
        <f t="shared" si="4"/>
        <v>1.1664402416970393E-4</v>
      </c>
      <c r="U18" s="1">
        <v>6.0769442E-2</v>
      </c>
      <c r="V18" s="1">
        <v>28.198823999999998</v>
      </c>
      <c r="W18" s="1">
        <f t="shared" si="11"/>
        <v>5.1343494371756081E-4</v>
      </c>
      <c r="X18" s="1">
        <f t="shared" si="5"/>
        <v>1.4478261613341403E-2</v>
      </c>
    </row>
    <row r="19" spans="1:24" x14ac:dyDescent="0.25">
      <c r="A19" s="1">
        <v>8.5653649999999998E-2</v>
      </c>
      <c r="B19" s="1">
        <v>4.5991967000000002</v>
      </c>
      <c r="C19" s="1">
        <f t="shared" si="6"/>
        <v>1.016946209629159E-4</v>
      </c>
      <c r="D19" s="1">
        <f t="shared" si="0"/>
        <v>4.6771356514039366E-4</v>
      </c>
      <c r="E19" s="1">
        <v>3.6386611999999999E-2</v>
      </c>
      <c r="F19" s="1">
        <v>3.4887996000000001</v>
      </c>
      <c r="G19" s="1">
        <f t="shared" si="7"/>
        <v>2.0158563337616901E-4</v>
      </c>
      <c r="H19" s="1">
        <f t="shared" si="1"/>
        <v>7.0329187708852506E-4</v>
      </c>
      <c r="I19" s="1">
        <v>7.9416810000000004E-2</v>
      </c>
      <c r="J19" s="1">
        <v>16.759754999999998</v>
      </c>
      <c r="K19" s="1">
        <f t="shared" si="8"/>
        <v>2.9327040835750665E-4</v>
      </c>
      <c r="L19" s="1">
        <f t="shared" si="2"/>
        <v>4.915140192821763E-3</v>
      </c>
      <c r="M19" s="1">
        <v>4.1978045999999998E-2</v>
      </c>
      <c r="N19" s="1">
        <v>16.012861999999998</v>
      </c>
      <c r="O19" s="1">
        <f t="shared" si="9"/>
        <v>2.4491228376251708E-4</v>
      </c>
      <c r="P19" s="1">
        <f t="shared" si="3"/>
        <v>3.9217466019940261E-3</v>
      </c>
      <c r="Q19" s="1">
        <v>5.2006030000000002E-2</v>
      </c>
      <c r="R19" s="1">
        <v>0.37350425999999998</v>
      </c>
      <c r="S19" s="1">
        <f t="shared" si="10"/>
        <v>2.9454374828911554E-4</v>
      </c>
      <c r="T19" s="1">
        <f t="shared" si="4"/>
        <v>1.1001334474235236E-4</v>
      </c>
      <c r="U19" s="1">
        <v>6.5354580999999995E-2</v>
      </c>
      <c r="V19" s="1">
        <v>26.667538</v>
      </c>
      <c r="W19" s="1">
        <f t="shared" si="11"/>
        <v>5.7401615885195687E-4</v>
      </c>
      <c r="X19" s="1">
        <f t="shared" si="5"/>
        <v>1.5307597728798597E-2</v>
      </c>
    </row>
    <row r="20" spans="1:24" x14ac:dyDescent="0.25">
      <c r="A20" s="1">
        <v>8.6078098000000006E-2</v>
      </c>
      <c r="B20" s="1">
        <v>5.6604827999999996</v>
      </c>
      <c r="C20" s="1">
        <f t="shared" si="6"/>
        <v>9.5063123585772957E-5</v>
      </c>
      <c r="D20" s="1">
        <f t="shared" si="0"/>
        <v>5.3810317597154209E-4</v>
      </c>
      <c r="E20" s="1">
        <v>3.9197395000000003E-2</v>
      </c>
      <c r="F20" s="1">
        <v>3.4177651</v>
      </c>
      <c r="G20" s="1">
        <f t="shared" si="7"/>
        <v>1.3672666097359638E-4</v>
      </c>
      <c r="H20" s="1">
        <f t="shared" si="1"/>
        <v>4.672996101150897E-4</v>
      </c>
      <c r="I20" s="1">
        <v>8.1475128999999993E-2</v>
      </c>
      <c r="J20" s="1">
        <v>21.068418000000001</v>
      </c>
      <c r="K20" s="1">
        <f t="shared" si="8"/>
        <v>2.6482909522785453E-4</v>
      </c>
      <c r="L20" s="1">
        <f t="shared" si="2"/>
        <v>5.5795300768222448E-3</v>
      </c>
      <c r="M20" s="1">
        <v>4.5332952000000003E-2</v>
      </c>
      <c r="N20" s="1">
        <v>15.723473</v>
      </c>
      <c r="O20" s="1">
        <f t="shared" si="9"/>
        <v>2.5758099309615467E-4</v>
      </c>
      <c r="P20" s="1">
        <f t="shared" si="3"/>
        <v>4.0500677902605741E-3</v>
      </c>
      <c r="Q20" s="1">
        <v>5.5336221999999997E-2</v>
      </c>
      <c r="R20" s="1">
        <v>0.47715131</v>
      </c>
      <c r="S20" s="1">
        <f t="shared" si="10"/>
        <v>3.3451683154022338E-4</v>
      </c>
      <c r="T20" s="1">
        <f t="shared" si="4"/>
        <v>1.5961514438646689E-4</v>
      </c>
      <c r="U20" s="1">
        <v>6.9565150000000006E-2</v>
      </c>
      <c r="V20" s="1">
        <v>25.202947000000002</v>
      </c>
      <c r="W20" s="1">
        <f t="shared" si="11"/>
        <v>5.4561704827852352E-4</v>
      </c>
      <c r="X20" s="1">
        <f t="shared" si="5"/>
        <v>1.375115755006007E-2</v>
      </c>
    </row>
    <row r="21" spans="1:24" x14ac:dyDescent="0.25">
      <c r="A21" s="1">
        <v>8.6757215999999998E-2</v>
      </c>
      <c r="B21" s="1">
        <v>6.9048822000000003</v>
      </c>
      <c r="C21" s="1">
        <f t="shared" si="6"/>
        <v>9.56720525439516E-5</v>
      </c>
      <c r="D21" s="1">
        <f t="shared" si="0"/>
        <v>6.6060425264819617E-4</v>
      </c>
      <c r="E21" s="1">
        <v>3.9921811000000001E-2</v>
      </c>
      <c r="F21" s="1">
        <v>3.3855122999999998</v>
      </c>
      <c r="G21" s="1">
        <f t="shared" si="7"/>
        <v>2.5345174589061622E-4</v>
      </c>
      <c r="H21" s="1">
        <f t="shared" si="1"/>
        <v>8.5806400316915566E-4</v>
      </c>
      <c r="I21" s="1">
        <v>8.2675815E-2</v>
      </c>
      <c r="J21" s="1">
        <v>23.899266000000001</v>
      </c>
      <c r="K21" s="1">
        <f t="shared" si="8"/>
        <v>1.9853538721818081E-4</v>
      </c>
      <c r="L21" s="1">
        <f t="shared" si="2"/>
        <v>4.7448500295403035E-3</v>
      </c>
      <c r="M21" s="1">
        <v>4.7691422999999997E-2</v>
      </c>
      <c r="N21" s="1">
        <v>15.62701</v>
      </c>
      <c r="O21" s="1">
        <f t="shared" si="9"/>
        <v>3.054497105482246E-4</v>
      </c>
      <c r="P21" s="1">
        <f t="shared" si="3"/>
        <v>4.773265681234211E-3</v>
      </c>
      <c r="Q21" s="1">
        <v>5.8067597999999998E-2</v>
      </c>
      <c r="R21" s="1">
        <v>0.94446121999999999</v>
      </c>
      <c r="S21" s="1">
        <f t="shared" si="10"/>
        <v>3.5270153235332459E-4</v>
      </c>
      <c r="T21" s="1">
        <f t="shared" si="4"/>
        <v>3.3311291954229039E-4</v>
      </c>
      <c r="U21" s="1">
        <v>7.3213707000000003E-2</v>
      </c>
      <c r="V21" s="1">
        <v>23.805174000000001</v>
      </c>
      <c r="W21" s="1">
        <f t="shared" si="11"/>
        <v>4.9928052217854818E-4</v>
      </c>
      <c r="X21" s="1">
        <f t="shared" si="5"/>
        <v>1.1885459705271198E-2</v>
      </c>
    </row>
    <row r="22" spans="1:24" x14ac:dyDescent="0.25">
      <c r="A22" s="1">
        <v>8.7181664000000006E-2</v>
      </c>
      <c r="B22" s="1">
        <v>8.3686074000000001</v>
      </c>
      <c r="C22" s="1">
        <f t="shared" si="6"/>
        <v>8.8853018980903503E-5</v>
      </c>
      <c r="D22" s="1">
        <f t="shared" si="0"/>
        <v>7.4357603215592953E-4</v>
      </c>
      <c r="E22" s="1">
        <v>4.5363919000000003E-2</v>
      </c>
      <c r="F22" s="1">
        <v>3.2756609000000001</v>
      </c>
      <c r="G22" s="1">
        <f t="shared" si="7"/>
        <v>3.4799129947339744E-4</v>
      </c>
      <c r="H22" s="1">
        <f t="shared" si="1"/>
        <v>1.1399014932251986E-3</v>
      </c>
      <c r="I22" s="1">
        <v>8.3876501000000006E-2</v>
      </c>
      <c r="J22" s="1">
        <v>27.098776999999998</v>
      </c>
      <c r="K22" s="1">
        <f t="shared" si="8"/>
        <v>2.1591609595809132E-4</v>
      </c>
      <c r="L22" s="1">
        <f t="shared" si="2"/>
        <v>5.8510621350789174E-3</v>
      </c>
      <c r="M22" s="1">
        <v>5.1683288000000001E-2</v>
      </c>
      <c r="N22" s="1">
        <v>15.530547</v>
      </c>
      <c r="O22" s="1">
        <f t="shared" si="9"/>
        <v>3.6394975561154005E-4</v>
      </c>
      <c r="P22" s="1">
        <f t="shared" si="3"/>
        <v>5.6523387851635364E-3</v>
      </c>
      <c r="Q22" s="1">
        <v>6.1394666000000001E-2</v>
      </c>
      <c r="R22" s="1">
        <v>2.1456577999999999</v>
      </c>
      <c r="S22" s="1">
        <f t="shared" si="10"/>
        <v>3.4935185215253638E-4</v>
      </c>
      <c r="T22" s="1">
        <f t="shared" si="4"/>
        <v>7.4958952651553651E-4</v>
      </c>
      <c r="U22" s="1">
        <v>7.6395531000000003E-2</v>
      </c>
      <c r="V22" s="1">
        <v>22.806381999999999</v>
      </c>
      <c r="W22" s="1">
        <f t="shared" si="11"/>
        <v>5.3696102656438163E-4</v>
      </c>
      <c r="X22" s="1">
        <f t="shared" si="5"/>
        <v>1.2246138290939434E-2</v>
      </c>
    </row>
    <row r="23" spans="1:24" x14ac:dyDescent="0.25">
      <c r="A23" s="1">
        <v>8.7775890999999995E-2</v>
      </c>
      <c r="B23" s="1">
        <v>9.6861154000000003</v>
      </c>
      <c r="C23" s="1">
        <f t="shared" si="6"/>
        <v>6.6980325035455486E-5</v>
      </c>
      <c r="D23" s="1">
        <f t="shared" si="0"/>
        <v>6.4877915782293098E-4</v>
      </c>
      <c r="E23" s="1">
        <v>4.7725398000000002E-2</v>
      </c>
      <c r="F23" s="1">
        <v>3.2755087999999999</v>
      </c>
      <c r="G23" s="1">
        <f t="shared" si="7"/>
        <v>2.3004237504400211E-4</v>
      </c>
      <c r="H23" s="1">
        <f t="shared" si="1"/>
        <v>7.5350582382952924E-4</v>
      </c>
      <c r="I23" s="1">
        <v>8.5248714000000003E-2</v>
      </c>
      <c r="J23" s="1">
        <v>30.483252</v>
      </c>
      <c r="K23" s="1">
        <f t="shared" si="8"/>
        <v>2.6346832037900652E-4</v>
      </c>
      <c r="L23" s="1">
        <f t="shared" si="2"/>
        <v>8.0313712041299914E-3</v>
      </c>
      <c r="M23" s="1">
        <v>5.4764502999999999E-2</v>
      </c>
      <c r="N23" s="1">
        <v>15.080386000000001</v>
      </c>
      <c r="O23" s="1">
        <f t="shared" si="9"/>
        <v>3.4262667820415555E-4</v>
      </c>
      <c r="P23" s="1">
        <f t="shared" si="3"/>
        <v>5.1669425612164525E-3</v>
      </c>
      <c r="Q23" s="1">
        <v>6.3779771999999998E-2</v>
      </c>
      <c r="R23" s="1">
        <v>4.2580422999999996</v>
      </c>
      <c r="S23" s="1">
        <f t="shared" si="10"/>
        <v>3.0979316852154486E-4</v>
      </c>
      <c r="T23" s="1">
        <f t="shared" si="4"/>
        <v>1.3191124158157663E-3</v>
      </c>
      <c r="U23" s="1">
        <v>8.0227482000000003E-2</v>
      </c>
      <c r="V23" s="1">
        <v>20.544699000000001</v>
      </c>
      <c r="W23" s="1">
        <f t="shared" si="11"/>
        <v>5.6910038045503153E-4</v>
      </c>
      <c r="X23" s="1">
        <f t="shared" si="5"/>
        <v>1.1691996017234106E-2</v>
      </c>
    </row>
    <row r="24" spans="1:24" x14ac:dyDescent="0.25">
      <c r="A24" s="1">
        <v>8.7945671000000003E-2</v>
      </c>
      <c r="B24" s="1">
        <v>11.295996000000001</v>
      </c>
      <c r="C24" s="1">
        <f t="shared" si="6"/>
        <v>2.9862744014198632E-5</v>
      </c>
      <c r="D24" s="1">
        <f t="shared" si="0"/>
        <v>3.3732943693341169E-4</v>
      </c>
      <c r="E24" s="1">
        <v>5.0181652E-2</v>
      </c>
      <c r="F24" s="1">
        <v>3.3333216000000001</v>
      </c>
      <c r="G24" s="1">
        <f t="shared" si="7"/>
        <v>3.3070727291676771E-4</v>
      </c>
      <c r="H24" s="1">
        <f t="shared" si="1"/>
        <v>1.1023536960905569E-3</v>
      </c>
      <c r="I24" s="1">
        <v>8.6963978999999997E-2</v>
      </c>
      <c r="J24" s="1">
        <v>32.271448999999997</v>
      </c>
      <c r="K24" s="1">
        <f t="shared" si="8"/>
        <v>3.0586639829797372E-4</v>
      </c>
      <c r="L24" s="1">
        <f t="shared" si="2"/>
        <v>9.8707518734867453E-3</v>
      </c>
      <c r="M24" s="1">
        <v>5.7937045E-2</v>
      </c>
      <c r="N24" s="1">
        <v>14.694534000000001</v>
      </c>
      <c r="O24" s="1">
        <f t="shared" si="9"/>
        <v>3.3526392348076856E-4</v>
      </c>
      <c r="P24" s="1">
        <f t="shared" si="3"/>
        <v>4.9265471225615519E-3</v>
      </c>
      <c r="Q24" s="1">
        <v>6.6250272999999998E-2</v>
      </c>
      <c r="R24" s="1">
        <v>6.3707393000000003</v>
      </c>
      <c r="S24" s="1">
        <f t="shared" si="10"/>
        <v>3.0430242442829741E-4</v>
      </c>
      <c r="T24" s="1">
        <f t="shared" si="4"/>
        <v>1.9386314143906346E-3</v>
      </c>
      <c r="U24" s="1">
        <v>8.3501469999999994E-2</v>
      </c>
      <c r="V24" s="1">
        <v>19.213619999999999</v>
      </c>
      <c r="W24" s="1">
        <f t="shared" si="11"/>
        <v>5.4636794521393649E-4</v>
      </c>
      <c r="X24" s="1">
        <f t="shared" si="5"/>
        <v>1.0497706079521394E-2</v>
      </c>
    </row>
    <row r="25" spans="1:24" x14ac:dyDescent="0.25">
      <c r="A25" s="1">
        <v>8.8115449999999998E-2</v>
      </c>
      <c r="B25" s="1">
        <v>12.613193000000001</v>
      </c>
      <c r="C25" s="1">
        <f t="shared" si="6"/>
        <v>3.7409434369281395E-5</v>
      </c>
      <c r="D25" s="1">
        <f t="shared" si="0"/>
        <v>4.7185241572057952E-4</v>
      </c>
      <c r="E25" s="1">
        <v>5.4262684999999998E-2</v>
      </c>
      <c r="F25" s="1">
        <v>3.2428816</v>
      </c>
      <c r="G25" s="1">
        <f t="shared" si="7"/>
        <v>4.327748737863635E-4</v>
      </c>
      <c r="H25" s="1">
        <f t="shared" si="1"/>
        <v>1.4034376751441205E-3</v>
      </c>
      <c r="I25" s="1">
        <v>8.8765009000000006E-2</v>
      </c>
      <c r="J25" s="1">
        <v>33.568412000000002</v>
      </c>
      <c r="K25" s="1">
        <f t="shared" si="8"/>
        <v>2.9668330564772572E-4</v>
      </c>
      <c r="L25" s="1">
        <f t="shared" si="2"/>
        <v>9.9591874375047837E-3</v>
      </c>
      <c r="M25" s="1">
        <v>6.0564831E-2</v>
      </c>
      <c r="N25" s="1">
        <v>14.276527</v>
      </c>
      <c r="O25" s="1">
        <f t="shared" si="9"/>
        <v>3.3531147034420415E-4</v>
      </c>
      <c r="P25" s="1">
        <f t="shared" si="3"/>
        <v>4.7870832597787299E-3</v>
      </c>
      <c r="Q25" s="1">
        <v>6.8378930000000004E-2</v>
      </c>
      <c r="R25" s="1">
        <v>8.5736489999999996</v>
      </c>
      <c r="S25" s="1">
        <f t="shared" si="10"/>
        <v>2.6740095979309406E-4</v>
      </c>
      <c r="T25" s="1">
        <f t="shared" si="4"/>
        <v>2.2926019715291011E-3</v>
      </c>
      <c r="U25" s="1">
        <v>8.6770787000000002E-2</v>
      </c>
      <c r="V25" s="1">
        <v>16.885867000000001</v>
      </c>
      <c r="W25" s="1">
        <f t="shared" si="11"/>
        <v>5.3420098227373834E-4</v>
      </c>
      <c r="X25" s="1">
        <f t="shared" si="5"/>
        <v>9.0204467379437041E-3</v>
      </c>
    </row>
    <row r="26" spans="1:24" x14ac:dyDescent="0.25">
      <c r="A26" s="1">
        <v>8.8370118999999997E-2</v>
      </c>
      <c r="B26" s="1">
        <v>14.003622999999999</v>
      </c>
      <c r="C26" s="1">
        <f t="shared" si="6"/>
        <v>6.7564031731501967E-5</v>
      </c>
      <c r="D26" s="1">
        <f t="shared" si="0"/>
        <v>9.4614122872799071E-4</v>
      </c>
      <c r="E26" s="1">
        <v>5.8163819999999998E-2</v>
      </c>
      <c r="F26" s="1">
        <v>3.1782181</v>
      </c>
      <c r="G26" s="1">
        <f t="shared" si="7"/>
        <v>4.0473255054409305E-4</v>
      </c>
      <c r="H26" s="1">
        <f t="shared" si="1"/>
        <v>1.2863283177984013E-3</v>
      </c>
      <c r="I26" s="1">
        <v>9.0308747999999994E-2</v>
      </c>
      <c r="J26" s="1">
        <v>33.205438999999998</v>
      </c>
      <c r="K26" s="1">
        <f t="shared" si="8"/>
        <v>2.7882627265754176E-4</v>
      </c>
      <c r="L26" s="1">
        <f t="shared" si="2"/>
        <v>9.2585487883273705E-3</v>
      </c>
      <c r="M26" s="1">
        <v>6.3467182999999996E-2</v>
      </c>
      <c r="N26" s="1">
        <v>14.115755999999999</v>
      </c>
      <c r="O26" s="1">
        <f t="shared" si="9"/>
        <v>3.9185307861703189E-4</v>
      </c>
      <c r="P26" s="1">
        <f t="shared" si="3"/>
        <v>5.5313024456068397E-3</v>
      </c>
      <c r="Q26" s="1">
        <v>7.0165742000000003E-2</v>
      </c>
      <c r="R26" s="1">
        <v>10.866771999999999</v>
      </c>
      <c r="S26" s="1">
        <f t="shared" si="10"/>
        <v>2.4458710169570578E-4</v>
      </c>
      <c r="T26" s="1">
        <f t="shared" si="4"/>
        <v>2.6578722682680479E-3</v>
      </c>
      <c r="U26" s="1">
        <v>8.9664598999999998E-2</v>
      </c>
      <c r="V26" s="1">
        <v>14.425471999999999</v>
      </c>
      <c r="W26" s="1">
        <f t="shared" si="11"/>
        <v>5.4475230087814869E-4</v>
      </c>
      <c r="X26" s="1">
        <f t="shared" si="5"/>
        <v>7.8583090632533097E-3</v>
      </c>
    </row>
    <row r="27" spans="1:24" x14ac:dyDescent="0.25">
      <c r="A27" s="1">
        <v>8.8879456999999995E-2</v>
      </c>
      <c r="B27" s="1">
        <v>15.503996000000001</v>
      </c>
      <c r="C27" s="1">
        <f t="shared" si="6"/>
        <v>9.0539369738932771E-5</v>
      </c>
      <c r="D27" s="1">
        <f t="shared" si="0"/>
        <v>1.4037220262749347E-3</v>
      </c>
      <c r="E27" s="1">
        <v>6.1245766E-2</v>
      </c>
      <c r="F27" s="1">
        <v>3.0878424999999998</v>
      </c>
      <c r="G27" s="1">
        <f t="shared" si="7"/>
        <v>4.0041118142722159E-4</v>
      </c>
      <c r="H27" s="1">
        <f t="shared" si="1"/>
        <v>1.2364066634861855E-3</v>
      </c>
      <c r="I27" s="1">
        <v>9.1852486999999997E-2</v>
      </c>
      <c r="J27" s="1">
        <v>31.859363999999999</v>
      </c>
      <c r="K27" s="1">
        <f t="shared" si="8"/>
        <v>2.2016009147780846E-4</v>
      </c>
      <c r="L27" s="1">
        <f t="shared" si="2"/>
        <v>7.0141604926647972E-3</v>
      </c>
      <c r="M27" s="1">
        <v>6.6730178000000001E-2</v>
      </c>
      <c r="N27" s="1">
        <v>13.697749</v>
      </c>
      <c r="O27" s="1">
        <f t="shared" si="9"/>
        <v>4.2921927617301046E-4</v>
      </c>
      <c r="P27" s="1">
        <f t="shared" si="3"/>
        <v>5.8793379109795775E-3</v>
      </c>
      <c r="Q27" s="1">
        <v>7.1865855000000006E-2</v>
      </c>
      <c r="R27" s="1">
        <v>13.616894</v>
      </c>
      <c r="S27" s="1">
        <f t="shared" si="10"/>
        <v>2.5652145247210927E-4</v>
      </c>
      <c r="T27" s="1">
        <f t="shared" si="4"/>
        <v>3.4930254270387497E-3</v>
      </c>
      <c r="U27" s="1">
        <v>9.2841440999999997E-2</v>
      </c>
      <c r="V27" s="1">
        <v>12.363561000000001</v>
      </c>
      <c r="W27" s="1">
        <f t="shared" si="11"/>
        <v>4.0488707166022597E-4</v>
      </c>
      <c r="X27" s="1">
        <f t="shared" si="5"/>
        <v>5.0058460085825752E-3</v>
      </c>
    </row>
    <row r="28" spans="1:24" x14ac:dyDescent="0.25">
      <c r="A28" s="1">
        <v>8.9388794999999993E-2</v>
      </c>
      <c r="B28" s="1">
        <v>17.114125000000001</v>
      </c>
      <c r="C28" s="1">
        <f t="shared" si="6"/>
        <v>6.0647800221663717E-5</v>
      </c>
      <c r="D28" s="1">
        <f t="shared" si="0"/>
        <v>1.0379340339685807E-3</v>
      </c>
      <c r="E28" s="1">
        <v>6.4691893E-2</v>
      </c>
      <c r="F28" s="1">
        <v>3.0103257999999999</v>
      </c>
      <c r="G28" s="1">
        <f t="shared" si="7"/>
        <v>4.7015171951761154E-4</v>
      </c>
      <c r="H28" s="1">
        <f t="shared" si="1"/>
        <v>1.4153098511782295E-3</v>
      </c>
      <c r="I28" s="1">
        <v>9.2710119999999993E-2</v>
      </c>
      <c r="J28" s="1">
        <v>29.281880999999998</v>
      </c>
      <c r="K28" s="1">
        <f t="shared" si="8"/>
        <v>1.1912902128819944E-4</v>
      </c>
      <c r="L28" s="1">
        <f t="shared" si="2"/>
        <v>3.4883218250075223E-3</v>
      </c>
      <c r="M28" s="1">
        <v>6.9901553000000005E-2</v>
      </c>
      <c r="N28" s="1">
        <v>13.18328</v>
      </c>
      <c r="O28" s="1">
        <f t="shared" si="9"/>
        <v>4.4994065096032407E-4</v>
      </c>
      <c r="P28" s="1">
        <f t="shared" si="3"/>
        <v>5.9316935849922214E-3</v>
      </c>
      <c r="Q28" s="1">
        <v>7.3733116000000001E-2</v>
      </c>
      <c r="R28" s="1">
        <v>17.648116000000002</v>
      </c>
      <c r="S28" s="1">
        <f t="shared" si="10"/>
        <v>2.372241676049389E-4</v>
      </c>
      <c r="T28" s="1">
        <f t="shared" si="4"/>
        <v>4.1865596278954044E-3</v>
      </c>
      <c r="U28" s="1">
        <v>9.4048909E-2</v>
      </c>
      <c r="V28" s="1">
        <v>10.037177</v>
      </c>
      <c r="W28" s="1">
        <f t="shared" si="11"/>
        <v>2.2703369075435277E-4</v>
      </c>
      <c r="X28" s="1">
        <f t="shared" si="5"/>
        <v>2.2787773390647022E-3</v>
      </c>
    </row>
    <row r="29" spans="1:24" x14ac:dyDescent="0.25">
      <c r="A29" s="1">
        <v>8.9558574000000002E-2</v>
      </c>
      <c r="B29" s="1">
        <v>18.650834</v>
      </c>
      <c r="C29" s="1">
        <f t="shared" si="6"/>
        <v>9.9044490562550172E-5</v>
      </c>
      <c r="D29" s="1">
        <f t="shared" si="0"/>
        <v>1.8472623520966898E-3</v>
      </c>
      <c r="E29" s="1">
        <v>6.8503079999999994E-2</v>
      </c>
      <c r="F29" s="1">
        <v>2.9585504999999999</v>
      </c>
      <c r="G29" s="1">
        <f t="shared" si="7"/>
        <v>5.0897338404733931E-4</v>
      </c>
      <c r="H29" s="1">
        <f t="shared" si="1"/>
        <v>1.5058234598599477E-3</v>
      </c>
      <c r="I29" s="1">
        <v>9.3138937000000005E-2</v>
      </c>
      <c r="J29" s="1">
        <v>27.194368000000001</v>
      </c>
      <c r="K29" s="1">
        <f t="shared" si="8"/>
        <v>7.987902574171403E-5</v>
      </c>
      <c r="L29" s="1">
        <f t="shared" si="2"/>
        <v>2.1722596215016442E-3</v>
      </c>
      <c r="M29" s="1">
        <v>7.3164838999999995E-2</v>
      </c>
      <c r="N29" s="1">
        <v>12.797428</v>
      </c>
      <c r="O29" s="1">
        <f t="shared" si="9"/>
        <v>4.300616425849807E-4</v>
      </c>
      <c r="P29" s="1">
        <f t="shared" si="3"/>
        <v>5.503682906543024E-3</v>
      </c>
      <c r="Q29" s="1">
        <v>7.5088780999999993E-2</v>
      </c>
      <c r="R29" s="1">
        <v>21.403075000000001</v>
      </c>
      <c r="S29" s="1">
        <f t="shared" si="10"/>
        <v>1.907558872997735E-4</v>
      </c>
      <c r="T29" s="1">
        <f t="shared" si="4"/>
        <v>4.0827625625686004E-3</v>
      </c>
      <c r="U29" s="1">
        <v>9.5255442999999995E-2</v>
      </c>
      <c r="V29" s="1">
        <v>7.5114581999999999</v>
      </c>
      <c r="W29" s="1">
        <f t="shared" si="11"/>
        <v>2.5659022228704913E-4</v>
      </c>
      <c r="X29" s="1">
        <f t="shared" si="5"/>
        <v>1.9273667292378778E-3</v>
      </c>
    </row>
    <row r="30" spans="1:24" x14ac:dyDescent="0.25">
      <c r="A30" s="1">
        <v>9.0492359999999994E-2</v>
      </c>
      <c r="B30" s="1">
        <v>19.785664000000001</v>
      </c>
      <c r="C30" s="1">
        <f t="shared" si="6"/>
        <v>1.6128126834077244E-4</v>
      </c>
      <c r="D30" s="1">
        <f t="shared" si="0"/>
        <v>3.191056984884361E-3</v>
      </c>
      <c r="E30" s="1">
        <v>7.2126911000000002E-2</v>
      </c>
      <c r="F30" s="1">
        <v>2.8230514000000002</v>
      </c>
      <c r="G30" s="1">
        <f t="shared" si="7"/>
        <v>5.3645070426603606E-4</v>
      </c>
      <c r="H30" s="1">
        <f t="shared" si="1"/>
        <v>1.5144279117092192E-3</v>
      </c>
      <c r="I30" s="1">
        <v>9.3567753000000004E-2</v>
      </c>
      <c r="J30" s="1">
        <v>24.55386</v>
      </c>
      <c r="K30" s="1">
        <f t="shared" si="8"/>
        <v>1.0439246088060974E-4</v>
      </c>
      <c r="L30" s="1">
        <f t="shared" si="2"/>
        <v>2.5632378695179684E-3</v>
      </c>
      <c r="M30" s="1">
        <v>7.5792333000000003E-2</v>
      </c>
      <c r="N30" s="1">
        <v>12.347267</v>
      </c>
      <c r="O30" s="1">
        <f t="shared" si="9"/>
        <v>4.2628590413411153E-4</v>
      </c>
      <c r="P30" s="1">
        <f t="shared" si="3"/>
        <v>5.2634658766802789E-3</v>
      </c>
      <c r="Q30" s="1">
        <v>7.6274955000000005E-2</v>
      </c>
      <c r="R30" s="1">
        <v>24.700098000000001</v>
      </c>
      <c r="S30" s="1">
        <f t="shared" si="10"/>
        <v>1.7430828501190446E-4</v>
      </c>
      <c r="T30" s="1">
        <f t="shared" si="4"/>
        <v>4.3054317220059717E-3</v>
      </c>
      <c r="U30" s="1">
        <v>9.6740646999999999E-2</v>
      </c>
      <c r="V30" s="1">
        <v>4.4539929000000003</v>
      </c>
      <c r="W30" s="1">
        <f>(0.195/2)^2 - ((U30+U29)/2)^2</f>
        <v>2.9062535617797522E-4</v>
      </c>
      <c r="X30" s="1">
        <f t="shared" si="5"/>
        <v>1.2944432729766729E-3</v>
      </c>
    </row>
    <row r="31" spans="1:24" x14ac:dyDescent="0.25">
      <c r="A31" s="1">
        <v>9.1341255999999996E-2</v>
      </c>
      <c r="B31" s="1">
        <v>20.554577999999999</v>
      </c>
      <c r="C31" s="1">
        <f t="shared" si="6"/>
        <v>1.9407335424225132E-4</v>
      </c>
      <c r="D31" s="1">
        <f t="shared" si="0"/>
        <v>3.9890958974939852E-3</v>
      </c>
      <c r="E31" s="1">
        <v>7.5935903999999999E-2</v>
      </c>
      <c r="F31" s="1">
        <v>2.7390702</v>
      </c>
      <c r="G31" s="1">
        <f t="shared" si="7"/>
        <v>5.503682140288197E-4</v>
      </c>
      <c r="H31" s="1">
        <f t="shared" si="1"/>
        <v>1.507497174073562E-3</v>
      </c>
      <c r="I31" s="1">
        <v>9.4253858999999995E-2</v>
      </c>
      <c r="J31" s="1">
        <v>21.054085000000001</v>
      </c>
      <c r="K31" s="1">
        <f t="shared" si="8"/>
        <v>1.4556955626866645E-4</v>
      </c>
      <c r="L31" s="1">
        <f t="shared" si="2"/>
        <v>3.0648338110927866E-3</v>
      </c>
      <c r="M31" s="1">
        <v>7.8782511999999999E-2</v>
      </c>
      <c r="N31" s="1">
        <v>11.864952000000001</v>
      </c>
      <c r="O31" s="1">
        <f t="shared" si="9"/>
        <v>5.0015502959911522E-4</v>
      </c>
      <c r="P31" s="1">
        <f t="shared" si="3"/>
        <v>5.9343154187520815E-3</v>
      </c>
      <c r="Q31" s="1">
        <v>7.7374690999999995E-2</v>
      </c>
      <c r="R31" s="1">
        <v>28.362658</v>
      </c>
      <c r="S31" s="1">
        <f t="shared" si="10"/>
        <v>1.8335759482165145E-4</v>
      </c>
      <c r="T31" s="1">
        <f t="shared" si="4"/>
        <v>5.200508753629071E-3</v>
      </c>
      <c r="U31" s="1"/>
      <c r="V31" s="1"/>
    </row>
    <row r="32" spans="1:24" x14ac:dyDescent="0.25">
      <c r="A32" s="1">
        <v>9.2614601000000005E-2</v>
      </c>
      <c r="B32" s="1">
        <v>20.226241000000002</v>
      </c>
      <c r="C32" s="1">
        <f t="shared" si="6"/>
        <v>1.6476197918178712E-4</v>
      </c>
      <c r="D32" s="1">
        <f t="shared" si="0"/>
        <v>3.3325154985678093E-3</v>
      </c>
      <c r="E32" s="1">
        <v>7.9383348000000006E-2</v>
      </c>
      <c r="F32" s="1">
        <v>2.6808771</v>
      </c>
      <c r="G32" s="1">
        <f t="shared" si="7"/>
        <v>5.1797665887285977E-4</v>
      </c>
      <c r="H32" s="1">
        <f t="shared" si="1"/>
        <v>1.3886317631067616E-3</v>
      </c>
      <c r="I32" s="1">
        <v>9.5111492000000006E-2</v>
      </c>
      <c r="J32" s="1">
        <v>17.800718</v>
      </c>
      <c r="K32" s="1">
        <f t="shared" si="8"/>
        <v>1.3039554032522396E-4</v>
      </c>
      <c r="L32" s="1">
        <f t="shared" si="2"/>
        <v>2.3211342417869402E-3</v>
      </c>
      <c r="M32" s="1">
        <v>8.2133624000000002E-2</v>
      </c>
      <c r="N32" s="1">
        <v>11.157556</v>
      </c>
      <c r="O32" s="1">
        <f t="shared" si="9"/>
        <v>4.7475362166728933E-4</v>
      </c>
      <c r="P32" s="1">
        <f t="shared" si="3"/>
        <v>5.297090119955594E-3</v>
      </c>
      <c r="Q32" s="1">
        <v>7.8643398000000003E-2</v>
      </c>
      <c r="R32" s="1">
        <v>32.666080000000001</v>
      </c>
      <c r="S32" s="1">
        <f t="shared" si="10"/>
        <v>1.9953016761665998E-4</v>
      </c>
      <c r="T32" s="1">
        <f t="shared" si="4"/>
        <v>6.5178684177792249E-3</v>
      </c>
      <c r="U32" s="1"/>
      <c r="V32" s="1"/>
    </row>
    <row r="33" spans="1:22" x14ac:dyDescent="0.25">
      <c r="A33" s="1">
        <v>9.3123939000000003E-2</v>
      </c>
      <c r="B33" s="1">
        <v>19.129052999999999</v>
      </c>
      <c r="C33" s="1">
        <f t="shared" si="6"/>
        <v>5.527379730255709E-5</v>
      </c>
      <c r="D33" s="1">
        <f t="shared" si="0"/>
        <v>1.0573353981118716E-3</v>
      </c>
      <c r="E33" s="1">
        <v>8.2468364000000002E-2</v>
      </c>
      <c r="F33" s="1">
        <v>2.6355898</v>
      </c>
      <c r="G33" s="1">
        <f t="shared" si="7"/>
        <v>6.1550498454712287E-4</v>
      </c>
      <c r="H33" s="1">
        <f t="shared" si="1"/>
        <v>1.6222186591215546E-3</v>
      </c>
      <c r="I33" s="1">
        <v>9.5626072000000006E-2</v>
      </c>
      <c r="J33" s="1">
        <v>15.037637999999999</v>
      </c>
      <c r="K33" s="1">
        <f t="shared" si="8"/>
        <v>7.376124758656441E-5</v>
      </c>
      <c r="L33" s="1">
        <f t="shared" si="2"/>
        <v>1.1091949396351292E-3</v>
      </c>
      <c r="M33" s="1">
        <v>8.4578755000000005E-2</v>
      </c>
      <c r="N33" s="1">
        <v>10.610932</v>
      </c>
      <c r="O33" s="1">
        <f t="shared" si="9"/>
        <v>4.213752180167521E-4</v>
      </c>
      <c r="P33" s="1">
        <f t="shared" si="3"/>
        <v>4.4711837848609316E-3</v>
      </c>
      <c r="Q33" s="1">
        <v>7.9911843999999996E-2</v>
      </c>
      <c r="R33" s="1">
        <v>37.060965000000003</v>
      </c>
      <c r="S33" s="1">
        <f t="shared" si="10"/>
        <v>2.0281164702210409E-4</v>
      </c>
      <c r="T33" s="1">
        <f t="shared" si="4"/>
        <v>7.5163953518785544E-3</v>
      </c>
      <c r="U33" s="1"/>
      <c r="V33" s="1"/>
    </row>
    <row r="34" spans="1:22" x14ac:dyDescent="0.25">
      <c r="A34" s="1">
        <v>9.3208829000000007E-2</v>
      </c>
      <c r="B34" s="1">
        <v>17.702286000000001</v>
      </c>
      <c r="C34" s="1">
        <f t="shared" si="6"/>
        <v>3.9589324382206456E-5</v>
      </c>
      <c r="D34" s="1">
        <f t="shared" si="0"/>
        <v>7.0082154276059202E-4</v>
      </c>
      <c r="E34" s="1">
        <v>8.6818364999999995E-2</v>
      </c>
      <c r="F34" s="1">
        <v>2.4936026999999998</v>
      </c>
      <c r="G34" s="1">
        <f t="shared" si="7"/>
        <v>6.0241158253630279E-4</v>
      </c>
      <c r="H34" s="1">
        <f t="shared" si="1"/>
        <v>1.5021751487237975E-3</v>
      </c>
      <c r="I34" s="1">
        <v>9.5883362E-2</v>
      </c>
      <c r="J34" s="1">
        <v>12.457941999999999</v>
      </c>
      <c r="K34" s="1">
        <f t="shared" si="8"/>
        <v>1.2359729768733271E-4</v>
      </c>
      <c r="L34" s="1">
        <f t="shared" si="2"/>
        <v>1.539767965945525E-3</v>
      </c>
      <c r="M34" s="1">
        <v>8.7114337999999999E-2</v>
      </c>
      <c r="N34" s="1">
        <v>10.032154</v>
      </c>
      <c r="O34" s="1">
        <f t="shared" si="9"/>
        <v>4.2579068149566513E-4</v>
      </c>
      <c r="P34" s="1">
        <f t="shared" si="3"/>
        <v>4.2715976885294629E-3</v>
      </c>
      <c r="Q34" s="1">
        <v>8.1181331999999995E-2</v>
      </c>
      <c r="R34" s="1">
        <v>41.089998999999999</v>
      </c>
      <c r="S34" s="1">
        <f t="shared" si="10"/>
        <v>2.0605347357748049E-4</v>
      </c>
      <c r="T34" s="1">
        <f t="shared" si="4"/>
        <v>8.4667370232451994E-3</v>
      </c>
      <c r="U34" s="1"/>
      <c r="V34" s="1"/>
    </row>
    <row r="35" spans="1:22" x14ac:dyDescent="0.25">
      <c r="A35" s="1">
        <v>9.3548386999999997E-2</v>
      </c>
      <c r="B35" s="1">
        <v>16.202534</v>
      </c>
      <c r="C35" s="1">
        <f t="shared" si="6"/>
        <v>6.3530300104058801E-5</v>
      </c>
      <c r="D35" s="1">
        <f t="shared" si="0"/>
        <v>1.0293518474662163E-3</v>
      </c>
      <c r="E35" s="1">
        <v>8.9441792000000006E-2</v>
      </c>
      <c r="F35" s="1">
        <v>2.3388442999999999</v>
      </c>
      <c r="G35" s="1">
        <f t="shared" si="7"/>
        <v>4.283243093977443E-4</v>
      </c>
      <c r="H35" s="1">
        <f t="shared" si="1"/>
        <v>1.0017838695863506E-3</v>
      </c>
      <c r="I35" s="1">
        <v>9.6912521000000001E-2</v>
      </c>
      <c r="J35" s="1">
        <v>10.249753999999999</v>
      </c>
      <c r="K35" s="1">
        <f>(0.195/2)^2 - ((I35+I34)/2)^2</f>
        <v>2.13686874562578E-4</v>
      </c>
      <c r="L35" s="1">
        <f t="shared" si="2"/>
        <v>2.1902378972952817E-3</v>
      </c>
      <c r="M35" s="1">
        <v>8.9469015999999998E-2</v>
      </c>
      <c r="N35" s="1">
        <v>9.5176849000000008</v>
      </c>
      <c r="O35" s="1">
        <f t="shared" si="9"/>
        <v>3.4758289771577144E-4</v>
      </c>
      <c r="P35" s="1">
        <f t="shared" si="3"/>
        <v>3.3081844970876424E-3</v>
      </c>
      <c r="Q35" s="1">
        <v>8.2450038000000003E-2</v>
      </c>
      <c r="R35" s="1">
        <v>45.393420999999996</v>
      </c>
      <c r="S35" s="1">
        <f t="shared" si="10"/>
        <v>2.0233270655080175E-4</v>
      </c>
      <c r="T35" s="1">
        <f t="shared" si="4"/>
        <v>9.1845737305300008E-3</v>
      </c>
      <c r="U35" s="1"/>
      <c r="V35" s="1"/>
    </row>
    <row r="36" spans="1:22" x14ac:dyDescent="0.25">
      <c r="A36" s="1">
        <v>9.3887946E-2</v>
      </c>
      <c r="B36" s="1">
        <v>14.190588</v>
      </c>
      <c r="C36" s="1">
        <f t="shared" si="6"/>
        <v>7.9737226916502812E-5</v>
      </c>
      <c r="D36" s="1">
        <f t="shared" si="0"/>
        <v>1.1315181354346019E-3</v>
      </c>
      <c r="E36" s="1">
        <v>9.1613283000000004E-2</v>
      </c>
      <c r="F36" s="1">
        <v>2.2163211999999999</v>
      </c>
      <c r="G36" s="1">
        <f t="shared" si="7"/>
        <v>3.1388606897160033E-4</v>
      </c>
      <c r="H36" s="1">
        <f t="shared" si="1"/>
        <v>6.9567234904641996E-4</v>
      </c>
      <c r="I36" s="1"/>
      <c r="J36" s="1"/>
      <c r="K36" s="1"/>
      <c r="L36" s="1"/>
      <c r="M36" s="1">
        <v>9.1008164000000003E-2</v>
      </c>
      <c r="N36" s="1">
        <v>9.1318327999999998</v>
      </c>
      <c r="O36" s="1">
        <f t="shared" si="9"/>
        <v>3.4715010662265608E-4</v>
      </c>
      <c r="P36" s="1">
        <f t="shared" si="3"/>
        <v>3.170116730180268E-3</v>
      </c>
      <c r="Q36" s="1">
        <v>8.3635952E-2</v>
      </c>
      <c r="R36" s="1">
        <v>48.781905999999999</v>
      </c>
      <c r="S36" s="1">
        <f t="shared" si="10"/>
        <v>2.344896747324722E-4</v>
      </c>
      <c r="T36" s="1">
        <f t="shared" si="4"/>
        <v>1.1438853270770034E-2</v>
      </c>
      <c r="U36" s="1"/>
      <c r="V36" s="1"/>
    </row>
    <row r="37" spans="1:22" x14ac:dyDescent="0.25">
      <c r="A37" s="1">
        <v>9.4397283999999998E-2</v>
      </c>
      <c r="B37" s="1">
        <v>12.398277</v>
      </c>
      <c r="C37" s="1">
        <f t="shared" si="6"/>
        <v>8.0097445407744869E-5</v>
      </c>
      <c r="D37" s="1">
        <f t="shared" si="0"/>
        <v>9.9307031515759878E-4</v>
      </c>
      <c r="E37" s="1">
        <v>9.2876511999999994E-2</v>
      </c>
      <c r="F37" s="1">
        <v>2.0938566000000001</v>
      </c>
      <c r="G37" s="1">
        <f t="shared" si="7"/>
        <v>1.5780694112839735E-4</v>
      </c>
      <c r="H37" s="1">
        <f t="shared" si="1"/>
        <v>3.3042510520750625E-4</v>
      </c>
      <c r="I37" s="1"/>
      <c r="J37" s="1"/>
      <c r="K37" s="1"/>
      <c r="L37" s="1"/>
      <c r="M37" s="1">
        <v>9.3275891E-2</v>
      </c>
      <c r="N37" s="1">
        <v>9.0353697999999998</v>
      </c>
      <c r="O37" s="1">
        <f t="shared" si="9"/>
        <v>3.2004646136613892E-4</v>
      </c>
      <c r="P37" s="1">
        <f t="shared" si="3"/>
        <v>2.8917381316244783E-3</v>
      </c>
      <c r="Q37" s="1">
        <v>8.5250147999999998E-2</v>
      </c>
      <c r="R37" s="1">
        <v>51.714641</v>
      </c>
      <c r="S37" s="1">
        <f t="shared" si="10"/>
        <v>2.682993804459851E-4</v>
      </c>
      <c r="T37" s="1">
        <f t="shared" si="4"/>
        <v>1.387500614028654E-2</v>
      </c>
      <c r="U37" s="1"/>
      <c r="V37" s="1"/>
    </row>
    <row r="38" spans="1:22" x14ac:dyDescent="0.25">
      <c r="A38" s="1">
        <v>9.4736842000000002E-2</v>
      </c>
      <c r="B38" s="1">
        <v>10.898526</v>
      </c>
      <c r="C38" s="1">
        <f t="shared" si="6"/>
        <v>5.6282578577183939E-5</v>
      </c>
      <c r="D38" s="1">
        <f t="shared" si="0"/>
        <v>6.1339714597048224E-4</v>
      </c>
      <c r="E38" s="1">
        <v>9.3316162999999994E-2</v>
      </c>
      <c r="F38" s="1">
        <v>1.8812679000000001</v>
      </c>
      <c r="G38" s="1">
        <f t="shared" si="7"/>
        <v>1.0702385064609472E-4</v>
      </c>
      <c r="H38" s="1">
        <f t="shared" si="1"/>
        <v>2.0134053475489227E-4</v>
      </c>
      <c r="I38" s="1"/>
      <c r="J38" s="1"/>
      <c r="K38" s="1"/>
      <c r="L38" s="1"/>
      <c r="M38" s="1">
        <v>9.4449436999999997E-2</v>
      </c>
      <c r="N38" s="1">
        <v>8.3601285999999995</v>
      </c>
      <c r="O38" s="1">
        <f t="shared" si="9"/>
        <v>1.6965230227366547E-4</v>
      </c>
      <c r="P38" s="1">
        <f t="shared" si="3"/>
        <v>1.4183150642939155E-3</v>
      </c>
      <c r="Q38" s="1">
        <v>8.6783895999999999E-2</v>
      </c>
      <c r="R38" s="1">
        <v>52.909277000000003</v>
      </c>
      <c r="S38" s="1">
        <f t="shared" si="10"/>
        <v>2.8187675757191701E-4</v>
      </c>
      <c r="T38" s="1">
        <f t="shared" si="4"/>
        <v>1.4913895446234405E-2</v>
      </c>
      <c r="U38" s="1"/>
      <c r="V38" s="1"/>
    </row>
    <row r="39" spans="1:22" x14ac:dyDescent="0.25">
      <c r="A39" s="1">
        <v>9.4991511000000001E-2</v>
      </c>
      <c r="B39" s="1">
        <v>9.3255414000000005</v>
      </c>
      <c r="C39" s="1">
        <f t="shared" si="6"/>
        <v>7.2622821569246279E-5</v>
      </c>
      <c r="D39" s="1">
        <f t="shared" si="0"/>
        <v>6.7724712912881914E-4</v>
      </c>
      <c r="E39" s="1">
        <v>9.4022588000000004E-2</v>
      </c>
      <c r="F39" s="1">
        <v>1.5849260999999999</v>
      </c>
      <c r="G39" s="1">
        <f t="shared" si="7"/>
        <v>1.5057202812090303E-4</v>
      </c>
      <c r="H39" s="1">
        <f t="shared" si="1"/>
        <v>2.3864553729875315E-4</v>
      </c>
      <c r="I39" s="1"/>
      <c r="J39" s="1"/>
      <c r="K39" s="1"/>
      <c r="L39" s="1"/>
      <c r="M39" s="1">
        <v>9.5074724999999999E-2</v>
      </c>
      <c r="N39" s="1">
        <v>7.2668809999999997</v>
      </c>
      <c r="O39" s="1">
        <f t="shared" si="9"/>
        <v>1.1895387560035935E-4</v>
      </c>
      <c r="P39" s="1">
        <f t="shared" si="3"/>
        <v>8.6442365847661494E-4</v>
      </c>
      <c r="Q39" s="1">
        <v>8.8496506000000003E-2</v>
      </c>
      <c r="R39" s="1">
        <v>51.269201000000002</v>
      </c>
      <c r="S39" s="1">
        <f t="shared" si="10"/>
        <v>2.8821514252965613E-4</v>
      </c>
      <c r="T39" s="1">
        <f t="shared" si="4"/>
        <v>1.477656007359659E-2</v>
      </c>
      <c r="U39" s="1"/>
      <c r="V39" s="1"/>
    </row>
    <row r="40" spans="1:22" x14ac:dyDescent="0.25">
      <c r="A40" s="1">
        <v>9.5500848999999999E-2</v>
      </c>
      <c r="B40" s="1">
        <v>7.8259141000000003</v>
      </c>
      <c r="C40" s="1">
        <f t="shared" si="6"/>
        <v>8.9157538510929724E-5</v>
      </c>
      <c r="D40" s="1">
        <f t="shared" si="0"/>
        <v>6.9773923775397792E-4</v>
      </c>
      <c r="E40" s="1">
        <v>9.4916809000000005E-2</v>
      </c>
      <c r="F40" s="1">
        <v>1.3787493</v>
      </c>
      <c r="G40" s="1">
        <f t="shared" si="7"/>
        <v>1.6966938302949777E-4</v>
      </c>
      <c r="H40" s="1">
        <f t="shared" si="1"/>
        <v>2.3393154308335194E-4</v>
      </c>
      <c r="I40" s="1"/>
      <c r="J40" s="1"/>
      <c r="K40" s="1"/>
      <c r="L40" s="1"/>
      <c r="M40" s="1">
        <v>9.5700596999999998E-2</v>
      </c>
      <c r="N40" s="1">
        <v>6.2379420999999997</v>
      </c>
      <c r="O40" s="1">
        <f t="shared" si="9"/>
        <v>1.0245951111938212E-4</v>
      </c>
      <c r="P40" s="1">
        <f t="shared" si="3"/>
        <v>6.3913649795701178E-4</v>
      </c>
      <c r="Q40" s="1">
        <v>9.0042229000000001E-2</v>
      </c>
      <c r="R40" s="1">
        <v>48.256563999999997</v>
      </c>
      <c r="S40" s="1">
        <f t="shared" si="10"/>
        <v>2.3191839348599835E-4</v>
      </c>
      <c r="T40" s="1">
        <f t="shared" si="4"/>
        <v>1.1191584798034261E-2</v>
      </c>
      <c r="U40" s="1"/>
      <c r="V40" s="1"/>
    </row>
    <row r="41" spans="1:22" x14ac:dyDescent="0.25">
      <c r="A41" s="1">
        <v>9.5925297000000007E-2</v>
      </c>
      <c r="B41" s="1">
        <v>6.7286637000000002</v>
      </c>
      <c r="C41" s="1">
        <f t="shared" si="6"/>
        <v>8.1430600922111074E-5</v>
      </c>
      <c r="D41" s="1">
        <f t="shared" si="0"/>
        <v>5.4791912849379537E-4</v>
      </c>
      <c r="E41" s="1">
        <v>9.5810150999999996E-2</v>
      </c>
      <c r="F41" s="1">
        <v>1.1596902</v>
      </c>
      <c r="G41" s="1">
        <f t="shared" si="7"/>
        <v>1.6193545412532782E-4</v>
      </c>
      <c r="H41" s="1">
        <f t="shared" si="1"/>
        <v>1.8779495918169224E-4</v>
      </c>
      <c r="I41" s="1"/>
      <c r="J41" s="1"/>
      <c r="K41" s="1"/>
      <c r="L41" s="1"/>
      <c r="M41" s="1">
        <v>9.6145856000000002E-2</v>
      </c>
      <c r="N41" s="1">
        <v>5.3054661999999997</v>
      </c>
      <c r="O41" s="1">
        <f t="shared" si="9"/>
        <v>1.0328647444072386E-4</v>
      </c>
      <c r="P41" s="1">
        <f t="shared" si="3"/>
        <v>5.4798289906242436E-4</v>
      </c>
      <c r="Q41" s="1">
        <v>9.1075835999999993E-2</v>
      </c>
      <c r="R41" s="1">
        <v>45.150588999999997</v>
      </c>
      <c r="S41" s="1">
        <f t="shared" si="10"/>
        <v>1.5701574155535351E-4</v>
      </c>
      <c r="T41" s="1">
        <f t="shared" si="4"/>
        <v>7.089353213495987E-3</v>
      </c>
      <c r="U41" s="1"/>
      <c r="V41" s="1"/>
    </row>
    <row r="42" spans="1:22" x14ac:dyDescent="0.25">
      <c r="A42" s="1">
        <v>9.6349745000000001E-2</v>
      </c>
      <c r="B42" s="1">
        <v>5.5948279000000003</v>
      </c>
      <c r="C42" s="1">
        <f t="shared" si="6"/>
        <v>8.9989860257953802E-5</v>
      </c>
      <c r="D42" s="1">
        <f t="shared" si="0"/>
        <v>5.0347778088830118E-4</v>
      </c>
      <c r="E42" s="1">
        <v>9.6607402999999994E-2</v>
      </c>
      <c r="F42" s="1">
        <v>0.86334252</v>
      </c>
      <c r="G42" s="1">
        <f>(0.195/2)^2 - ((E42+E41)/2)^2</f>
        <v>2.5012122816427292E-4</v>
      </c>
      <c r="H42" s="1">
        <f t="shared" si="1"/>
        <v>2.1594029142883836E-4</v>
      </c>
      <c r="I42" s="1"/>
      <c r="J42" s="1"/>
      <c r="K42" s="1"/>
      <c r="L42" s="1"/>
      <c r="M42" s="1">
        <v>9.6774354000000007E-2</v>
      </c>
      <c r="N42" s="1">
        <v>4.5659163999999999</v>
      </c>
      <c r="O42" s="1">
        <f>(0.195/2)^2 - ((M42+M41)/2)^2</f>
        <v>2.0169814338897446E-4</v>
      </c>
      <c r="P42" s="1">
        <f t="shared" si="3"/>
        <v>9.2093686074927006E-4</v>
      </c>
      <c r="Q42" s="1">
        <v>9.1767857999999994E-2</v>
      </c>
      <c r="R42" s="1">
        <v>42.043365000000001</v>
      </c>
      <c r="S42" s="1">
        <f t="shared" ref="S42:S48" si="12">((Q43+Q42)/2)^2 - ((Q42+Q41)/2)^2</f>
        <v>1.5076971175812491E-4</v>
      </c>
      <c r="T42" s="1">
        <f t="shared" ref="T42:T49" si="13">S42*R42</f>
        <v>6.3388660223916374E-3</v>
      </c>
      <c r="U42" s="1"/>
      <c r="V42" s="1"/>
    </row>
    <row r="43" spans="1:22" x14ac:dyDescent="0.25">
      <c r="A43" s="1">
        <v>9.6859082999999999E-2</v>
      </c>
      <c r="B43" s="1">
        <v>4.7171517999999999</v>
      </c>
      <c r="C43" s="1">
        <f>(0.195/2)^2 - ((A43+A42)/2)^2</f>
        <v>1.7383719571660572E-4</v>
      </c>
      <c r="D43" s="1">
        <f t="shared" si="0"/>
        <v>8.2001644068153891E-4</v>
      </c>
      <c r="E43" s="1"/>
      <c r="F43" s="1"/>
      <c r="H43" s="1"/>
      <c r="I43" s="1"/>
      <c r="J43" s="1"/>
      <c r="K43" s="1"/>
      <c r="L43" s="1"/>
      <c r="M43" s="1"/>
      <c r="N43" s="1"/>
      <c r="O43" s="1"/>
      <c r="P43" s="1"/>
      <c r="Q43" s="1">
        <v>9.2717629999999995E-2</v>
      </c>
      <c r="R43" s="1">
        <v>38.388303000000001</v>
      </c>
      <c r="S43" s="1">
        <f t="shared" si="12"/>
        <v>1.3659330648947178E-4</v>
      </c>
      <c r="T43" s="1">
        <f t="shared" si="13"/>
        <v>5.243585237289709E-3</v>
      </c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>
        <v>9.3242765000000005E-2</v>
      </c>
      <c r="R44" s="1">
        <v>33.908517000000003</v>
      </c>
      <c r="S44" s="1">
        <f t="shared" si="12"/>
        <v>9.7710903670755397E-5</v>
      </c>
      <c r="T44" s="1">
        <f t="shared" si="13"/>
        <v>3.3132318382051722E-3</v>
      </c>
      <c r="U44" s="1"/>
      <c r="V44" s="1"/>
    </row>
    <row r="45" spans="1:22" x14ac:dyDescent="0.25">
      <c r="A45" s="1"/>
      <c r="M45" s="1"/>
      <c r="N45" s="1"/>
      <c r="O45" s="1"/>
      <c r="P45" s="1"/>
      <c r="Q45" s="1">
        <v>9.3765556E-2</v>
      </c>
      <c r="R45" s="1">
        <v>30.251892999999999</v>
      </c>
      <c r="S45" s="1">
        <f t="shared" si="12"/>
        <v>9.8333414238436015E-5</v>
      </c>
      <c r="T45" s="1">
        <f t="shared" si="13"/>
        <v>2.9747719258658425E-3</v>
      </c>
      <c r="U45" s="1"/>
      <c r="V45" s="1"/>
    </row>
    <row r="46" spans="1:22" x14ac:dyDescent="0.25">
      <c r="A46" s="1"/>
      <c r="M46" s="1"/>
      <c r="N46" s="1"/>
      <c r="O46" s="1"/>
      <c r="P46" s="1"/>
      <c r="Q46" s="1">
        <v>9.4291472000000001E-2</v>
      </c>
      <c r="R46" s="1">
        <v>25.497719</v>
      </c>
      <c r="S46" s="1">
        <f t="shared" si="12"/>
        <v>1.3143225765519483E-4</v>
      </c>
      <c r="T46" s="1">
        <f t="shared" si="13"/>
        <v>3.3512227732277566E-3</v>
      </c>
      <c r="U46" s="1"/>
      <c r="V46" s="1"/>
    </row>
    <row r="47" spans="1:22" x14ac:dyDescent="0.25">
      <c r="A47" s="1"/>
      <c r="M47" s="1"/>
      <c r="N47" s="1"/>
      <c r="O47" s="1"/>
      <c r="P47" s="1"/>
      <c r="Q47" s="1">
        <v>9.5158191000000003E-2</v>
      </c>
      <c r="R47" s="1">
        <v>21.019183000000002</v>
      </c>
      <c r="S47" s="1">
        <f t="shared" si="12"/>
        <v>1.4030389063617726E-4</v>
      </c>
      <c r="T47" s="1">
        <f t="shared" si="13"/>
        <v>2.9490731528937966E-3</v>
      </c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>
        <v>9.5766900000000002E-2</v>
      </c>
      <c r="R48" s="1">
        <v>17.179946000000001</v>
      </c>
      <c r="S48" s="1">
        <f t="shared" si="12"/>
        <v>1.4121705848488438E-4</v>
      </c>
      <c r="T48" s="1">
        <f t="shared" si="13"/>
        <v>2.4261014390491555E-3</v>
      </c>
      <c r="U48" s="1"/>
      <c r="V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>
        <v>9.6631797000000005E-2</v>
      </c>
      <c r="R49" s="1">
        <v>13.341647</v>
      </c>
      <c r="S49" s="1">
        <f>(0.195/2)^2 - ((Q49+Q48)/2)^2</f>
        <v>2.5193534817554743E-4</v>
      </c>
      <c r="T49" s="1">
        <f t="shared" si="13"/>
        <v>3.361232482180248E-3</v>
      </c>
      <c r="U49" s="1"/>
      <c r="V49" s="1"/>
    </row>
    <row r="52" spans="1:24" x14ac:dyDescent="0.25">
      <c r="B52" s="4" t="s">
        <v>9</v>
      </c>
      <c r="C52" s="1">
        <f>SUM(C4:C44)</f>
        <v>9.5062500000000008E-3</v>
      </c>
      <c r="D52" s="1">
        <f>SUM(D4:D44)</f>
        <v>3.025621741118031E-2</v>
      </c>
      <c r="E52" s="1"/>
      <c r="F52" s="1"/>
      <c r="G52" s="1">
        <f>SUM(G4:G44)</f>
        <v>9.5062500000000008E-3</v>
      </c>
      <c r="H52" s="1">
        <f>SUM(H4:H44)</f>
        <v>2.6665868130872159E-2</v>
      </c>
      <c r="I52" s="1"/>
      <c r="J52" s="1"/>
      <c r="K52" s="1">
        <f>SUM(K4:K44)</f>
        <v>9.5062500000000008E-3</v>
      </c>
      <c r="L52" s="1">
        <f>SUM(L4:L44)</f>
        <v>9.7197028081835682E-2</v>
      </c>
      <c r="O52" s="1">
        <f>SUM(O4:O44)</f>
        <v>9.5062500000000008E-3</v>
      </c>
      <c r="P52" s="1">
        <f>SUM(P4:P44)</f>
        <v>0.12383185153015507</v>
      </c>
      <c r="S52" s="1">
        <f>SUM(S4:S44)</f>
        <v>8.7430280308097609E-3</v>
      </c>
      <c r="T52" s="1">
        <f>SUM(T4:T44)</f>
        <v>0.15134669802624173</v>
      </c>
      <c r="W52" s="1">
        <f>SUM(W4:W44)</f>
        <v>9.5062500000000008E-3</v>
      </c>
      <c r="X52" s="1">
        <f>SUM(X4:X44)</f>
        <v>0.23178793795410479</v>
      </c>
    </row>
    <row r="53" spans="1:24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O53" s="1"/>
      <c r="P53" s="1"/>
      <c r="S53" s="1"/>
      <c r="T53" s="1"/>
      <c r="W53" s="1"/>
      <c r="X53" s="1"/>
    </row>
    <row r="54" spans="1:24" x14ac:dyDescent="0.25">
      <c r="B54" s="1"/>
      <c r="C54" s="4" t="s">
        <v>10</v>
      </c>
      <c r="D54" s="1">
        <f>D52/C52/100</f>
        <v>3.1827710623200847E-2</v>
      </c>
      <c r="E54" s="1"/>
      <c r="F54" s="1"/>
      <c r="G54" s="4" t="s">
        <v>10</v>
      </c>
      <c r="H54" s="1">
        <f>H52/G52/100</f>
        <v>2.8050880348057493E-2</v>
      </c>
      <c r="I54" s="1"/>
      <c r="J54" s="1"/>
      <c r="K54" s="4" t="s">
        <v>10</v>
      </c>
      <c r="L54" s="1">
        <f>L52/K52/100</f>
        <v>0.1022453944319113</v>
      </c>
      <c r="O54" s="4" t="s">
        <v>10</v>
      </c>
      <c r="P54" s="1">
        <f>P52/O52/100</f>
        <v>0.13026361765170816</v>
      </c>
      <c r="S54" s="4" t="s">
        <v>10</v>
      </c>
      <c r="T54" s="1">
        <f>T52/S52/100</f>
        <v>0.17310558480758331</v>
      </c>
      <c r="W54" s="4" t="s">
        <v>10</v>
      </c>
      <c r="X54" s="1">
        <f>X52/W52/100</f>
        <v>0.24382689068150407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1486-A2BC-4D6A-A00C-BEA7A04D54E1}">
  <dimension ref="A1:AO69"/>
  <sheetViews>
    <sheetView zoomScale="85" zoomScaleNormal="85" workbookViewId="0"/>
  </sheetViews>
  <sheetFormatPr defaultRowHeight="15" x14ac:dyDescent="0.25"/>
  <cols>
    <col min="1" max="1" width="13.28515625" style="7" customWidth="1"/>
    <col min="2" max="2" width="14.140625" style="7" bestFit="1" customWidth="1"/>
    <col min="3" max="3" width="11.28515625" style="7" bestFit="1" customWidth="1"/>
    <col min="4" max="4" width="12.140625" style="7" bestFit="1" customWidth="1"/>
    <col min="5" max="7" width="12.7109375" style="7" customWidth="1"/>
    <col min="8" max="8" width="11.28515625" style="7" bestFit="1" customWidth="1"/>
    <col min="9" max="9" width="11.5703125" style="7" bestFit="1" customWidth="1"/>
    <col min="10" max="10" width="11.28515625" style="7" bestFit="1" customWidth="1"/>
    <col min="11" max="11" width="11.7109375" style="7" bestFit="1" customWidth="1"/>
    <col min="12" max="13" width="12.7109375" style="7" customWidth="1"/>
    <col min="14" max="14" width="9.140625" style="7"/>
    <col min="15" max="15" width="14.42578125" style="7" customWidth="1"/>
    <col min="16" max="16" width="13.140625" style="7" customWidth="1"/>
    <col min="17" max="17" width="11.28515625" style="7" bestFit="1" customWidth="1"/>
    <col min="18" max="18" width="11.7109375" style="7" bestFit="1" customWidth="1"/>
    <col min="19" max="20" width="12.7109375" style="7" customWidth="1"/>
    <col min="21" max="21" width="9.140625" style="7"/>
    <col min="22" max="22" width="12.28515625" style="7" customWidth="1"/>
    <col min="23" max="23" width="11.5703125" style="7" customWidth="1"/>
    <col min="24" max="24" width="11.28515625" style="7" bestFit="1" customWidth="1"/>
    <col min="25" max="25" width="11.28515625" style="7" customWidth="1"/>
    <col min="26" max="27" width="12.7109375" style="7" customWidth="1"/>
    <col min="28" max="28" width="9.140625" style="7"/>
    <col min="29" max="29" width="11.140625" style="7" customWidth="1"/>
    <col min="30" max="30" width="13.5703125" style="7" customWidth="1"/>
    <col min="31" max="31" width="11.28515625" style="7" bestFit="1" customWidth="1"/>
    <col min="32" max="32" width="11.7109375" style="7" bestFit="1" customWidth="1"/>
    <col min="33" max="34" width="12.7109375" style="7" customWidth="1"/>
    <col min="35" max="35" width="9.140625" style="7"/>
    <col min="36" max="36" width="11.28515625" style="7" bestFit="1" customWidth="1"/>
    <col min="37" max="37" width="11.5703125" style="7" bestFit="1" customWidth="1"/>
    <col min="38" max="38" width="11.28515625" style="7" bestFit="1" customWidth="1"/>
    <col min="39" max="39" width="11.42578125" style="7" bestFit="1" customWidth="1"/>
    <col min="40" max="41" width="12.7109375" style="7" customWidth="1"/>
    <col min="42" max="16384" width="9.140625" style="7"/>
  </cols>
  <sheetData>
    <row r="1" spans="1:41" x14ac:dyDescent="0.25">
      <c r="A1" s="6" t="s">
        <v>4</v>
      </c>
      <c r="O1" s="2" t="s">
        <v>5</v>
      </c>
      <c r="AC1" s="2" t="s">
        <v>6</v>
      </c>
    </row>
    <row r="2" spans="1:41" x14ac:dyDescent="0.25">
      <c r="A2" s="6" t="s">
        <v>0</v>
      </c>
      <c r="H2" s="2" t="s">
        <v>1</v>
      </c>
      <c r="O2" s="2" t="s">
        <v>0</v>
      </c>
      <c r="P2" s="2"/>
      <c r="Q2" s="2"/>
      <c r="R2" s="2"/>
      <c r="U2" s="2"/>
      <c r="V2" s="2" t="s">
        <v>1</v>
      </c>
      <c r="W2" s="2"/>
      <c r="X2" s="2"/>
      <c r="Y2" s="2"/>
      <c r="AB2" s="2"/>
      <c r="AC2" s="2" t="s">
        <v>0</v>
      </c>
      <c r="AD2" s="2"/>
      <c r="AE2" s="2"/>
      <c r="AF2" s="2"/>
      <c r="AI2" s="2"/>
      <c r="AJ2" s="2" t="s">
        <v>1</v>
      </c>
    </row>
    <row r="3" spans="1:41" s="8" customFormat="1" x14ac:dyDescent="0.25">
      <c r="A3" s="8" t="s">
        <v>11</v>
      </c>
      <c r="B3" s="8" t="s">
        <v>13</v>
      </c>
      <c r="C3" s="8" t="s">
        <v>12</v>
      </c>
      <c r="D3" s="8" t="s">
        <v>14</v>
      </c>
      <c r="E3" s="8" t="s">
        <v>15</v>
      </c>
      <c r="F3" s="8" t="s">
        <v>16</v>
      </c>
      <c r="H3" s="8" t="s">
        <v>11</v>
      </c>
      <c r="I3" s="8" t="s">
        <v>13</v>
      </c>
      <c r="J3" s="8" t="s">
        <v>12</v>
      </c>
      <c r="K3" s="8" t="s">
        <v>14</v>
      </c>
      <c r="L3" s="8" t="s">
        <v>15</v>
      </c>
      <c r="M3" s="8" t="s">
        <v>16</v>
      </c>
      <c r="O3" s="8" t="s">
        <v>11</v>
      </c>
      <c r="P3" s="8" t="s">
        <v>13</v>
      </c>
      <c r="Q3" s="8" t="s">
        <v>12</v>
      </c>
      <c r="R3" s="8" t="s">
        <v>14</v>
      </c>
      <c r="S3" s="8" t="s">
        <v>15</v>
      </c>
      <c r="T3" s="8" t="s">
        <v>16</v>
      </c>
      <c r="V3" s="8" t="s">
        <v>11</v>
      </c>
      <c r="W3" s="8" t="s">
        <v>13</v>
      </c>
      <c r="X3" s="8" t="s">
        <v>12</v>
      </c>
      <c r="Y3" s="8" t="s">
        <v>14</v>
      </c>
      <c r="Z3" s="8" t="s">
        <v>15</v>
      </c>
      <c r="AA3" s="8" t="s">
        <v>16</v>
      </c>
      <c r="AC3" s="8" t="s">
        <v>11</v>
      </c>
      <c r="AD3" s="8" t="s">
        <v>13</v>
      </c>
      <c r="AE3" s="8" t="s">
        <v>12</v>
      </c>
      <c r="AF3" s="8" t="s">
        <v>14</v>
      </c>
      <c r="AG3" s="8" t="s">
        <v>15</v>
      </c>
      <c r="AH3" s="8" t="s">
        <v>16</v>
      </c>
      <c r="AJ3" s="8" t="s">
        <v>11</v>
      </c>
      <c r="AK3" s="8" t="s">
        <v>13</v>
      </c>
      <c r="AL3" s="8" t="s">
        <v>12</v>
      </c>
      <c r="AM3" s="8" t="s">
        <v>14</v>
      </c>
      <c r="AN3" s="8" t="s">
        <v>15</v>
      </c>
      <c r="AO3" s="8" t="s">
        <v>16</v>
      </c>
    </row>
    <row r="4" spans="1:41" x14ac:dyDescent="0.25">
      <c r="A4" s="7">
        <v>5.2111099999999999E-4</v>
      </c>
      <c r="B4" s="7">
        <v>1.79104E-3</v>
      </c>
      <c r="C4" s="7">
        <f>(A4+A5)/2</f>
        <v>5.2111099999999999E-4</v>
      </c>
      <c r="D4" s="7">
        <f>B4*C4*1000/100</f>
        <v>9.3333064544000003E-6</v>
      </c>
      <c r="E4" s="7">
        <f>D4/(PI()/6*POWER(A4,3))</f>
        <v>125963.92410006675</v>
      </c>
      <c r="F4" s="7">
        <f>E4*PI()*POWER(A4,2)</f>
        <v>0.10746240000000001</v>
      </c>
      <c r="H4" s="7">
        <v>1.17898E-4</v>
      </c>
      <c r="I4" s="7">
        <v>5.8784500000000003E-3</v>
      </c>
      <c r="J4" s="7">
        <f>(H4+H5)/2</f>
        <v>3.0473849999999999E-4</v>
      </c>
      <c r="K4" s="7">
        <f>I4*J4*1000/100</f>
        <v>1.791390035325E-5</v>
      </c>
      <c r="L4" s="7">
        <f>K4/(PI()/6*POWER(H4,3))</f>
        <v>20877198.389427938</v>
      </c>
      <c r="M4" s="7">
        <f>L4*PI()*POWER(H4,2)</f>
        <v>0.91166433798283264</v>
      </c>
      <c r="O4" s="7">
        <v>9.0497699999999995E-4</v>
      </c>
      <c r="P4" s="7">
        <v>5.2249499999999999E-3</v>
      </c>
      <c r="Q4" s="7">
        <f>(O4+O5)/2</f>
        <v>1.6742084999999999E-3</v>
      </c>
      <c r="R4" s="7">
        <f>P4*Q4*1000/100</f>
        <v>8.7476557020749987E-5</v>
      </c>
      <c r="S4" s="7">
        <f>R4/(PI()/6*POWER(O4,3))</f>
        <v>225413.76545996609</v>
      </c>
      <c r="T4" s="7">
        <f>S4*PI()*POWER(O4,2)</f>
        <v>0.57996981373504519</v>
      </c>
      <c r="V4" s="7">
        <v>2.0101400000000001E-4</v>
      </c>
      <c r="W4" s="7">
        <v>6.6378299999999999E-3</v>
      </c>
      <c r="X4" s="7">
        <f>(V4+V5)/2</f>
        <v>8.5657699999999997E-4</v>
      </c>
      <c r="Y4" s="7">
        <f>W4*X4*1000/100</f>
        <v>5.6858125079100001E-5</v>
      </c>
      <c r="Z4" s="7">
        <f>Y4/(PI()/6*POWER(V4,3))</f>
        <v>13369494.749828432</v>
      </c>
      <c r="AA4" s="7">
        <f>Z4*PI()*POWER(V4,2)</f>
        <v>1.6971392563433392</v>
      </c>
      <c r="AC4" s="7">
        <v>7.2859699999999999E-4</v>
      </c>
      <c r="AD4" s="7">
        <v>8.7357300000000006E-3</v>
      </c>
      <c r="AE4" s="7">
        <f>(AC4+AC5)/2</f>
        <v>1.3661185000000001E-3</v>
      </c>
      <c r="AF4" s="7">
        <f>AD4*AE4*1000/100</f>
        <v>1.1934042364005002E-4</v>
      </c>
      <c r="AG4" s="7">
        <f>AF4/(PI()/6*POWER(AC4,3))</f>
        <v>589286.94077678164</v>
      </c>
      <c r="AH4" s="7">
        <f>AG4*PI()*POWER(AC4,2)</f>
        <v>0.98276899553566677</v>
      </c>
      <c r="AJ4" s="7">
        <v>1.0236E-4</v>
      </c>
      <c r="AK4" s="7">
        <v>8.24154E-6</v>
      </c>
      <c r="AL4" s="7">
        <f>(AJ4+AJ5)/2</f>
        <v>5.7113999999999993E-4</v>
      </c>
      <c r="AM4" s="7">
        <f>AK4*AL4*1000/100</f>
        <v>4.7070731555999992E-8</v>
      </c>
      <c r="AN4" s="7">
        <f>AM4/(PI()/6*POWER(AJ4,3))</f>
        <v>83822.670726897602</v>
      </c>
      <c r="AO4" s="7">
        <f>AN4*PI()*POWER(AJ4,2)</f>
        <v>2.759128461664713E-3</v>
      </c>
    </row>
    <row r="5" spans="1:41" x14ac:dyDescent="0.25">
      <c r="A5" s="7">
        <v>5.2111099999999999E-4</v>
      </c>
      <c r="B5" s="7">
        <v>9.3333399999999996E-5</v>
      </c>
      <c r="C5" s="7">
        <f>(A5+A6)/2 - (A5+A4)/2</f>
        <v>2.8753449999999994E-4</v>
      </c>
      <c r="D5" s="7">
        <f t="shared" ref="D5:D59" si="0">B5*C5*1000/100</f>
        <v>2.6836572502299993E-7</v>
      </c>
      <c r="E5" s="7">
        <f t="shared" ref="E5:E59" si="1">D5/(PI()/6*POWER(A5,3))</f>
        <v>3621.910411172682</v>
      </c>
      <c r="F5" s="7">
        <f t="shared" ref="F5:F59" si="2">E5*PI()*POWER(A5,2)</f>
        <v>3.0899258509952772E-3</v>
      </c>
      <c r="H5" s="7">
        <v>4.9157900000000002E-4</v>
      </c>
      <c r="I5" s="7">
        <v>3.8377200000000002E-3</v>
      </c>
      <c r="J5" s="7">
        <f>(H5+H6)/2 - (H5+H4)/2</f>
        <v>3.7366500000000002E-4</v>
      </c>
      <c r="K5" s="7">
        <f t="shared" ref="K5:K56" si="3">I5*J5*1000/100</f>
        <v>1.4340216438000003E-5</v>
      </c>
      <c r="L5" s="7">
        <f t="shared" ref="L5:L56" si="4">K5/(PI()/6*POWER(H5,3))</f>
        <v>230556.36618824539</v>
      </c>
      <c r="M5" s="7">
        <f t="shared" ref="M5:M56" si="5">L5*PI()*POWER(H5,2)</f>
        <v>0.17503046026783084</v>
      </c>
      <c r="O5" s="7">
        <v>2.4434399999999998E-3</v>
      </c>
      <c r="P5" s="7">
        <v>1.3059599999999999E-2</v>
      </c>
      <c r="Q5" s="7">
        <f>(O5+O6)/2 - (O5+O4)/2</f>
        <v>7.6923149999999995E-4</v>
      </c>
      <c r="R5" s="7">
        <f t="shared" ref="R5:R61" si="6">P5*Q5*1000/100</f>
        <v>1.0045855697399998E-4</v>
      </c>
      <c r="S5" s="7">
        <f t="shared" ref="S5:S59" si="7">R5/(PI()/6*POWER(O5,3))</f>
        <v>13151.741850396405</v>
      </c>
      <c r="T5" s="7">
        <f t="shared" ref="T5:T59" si="8">S5*PI()*POWER(O5,2)</f>
        <v>0.24668145804439642</v>
      </c>
      <c r="V5" s="7">
        <v>1.5121399999999999E-3</v>
      </c>
      <c r="W5" s="7">
        <v>2.6527800000000001E-2</v>
      </c>
      <c r="X5" s="7">
        <f>(V5+V6)/2 - (V5+V4)/2</f>
        <v>9.569130000000001E-4</v>
      </c>
      <c r="Y5" s="7">
        <f t="shared" ref="Y5:Y39" si="9">W5*X5*1000/100</f>
        <v>2.5384796681399998E-4</v>
      </c>
      <c r="Z5" s="7">
        <f t="shared" ref="Z5:Z39" si="10">Y5/(PI()/6*POWER(V5,3))</f>
        <v>140216.4804340291</v>
      </c>
      <c r="AA5" s="7">
        <f t="shared" ref="AA5:AA39" si="11">Z5*PI()*POWER(V5,2)</f>
        <v>1.0072399386855715</v>
      </c>
      <c r="AC5" s="7">
        <v>2.0036400000000001E-3</v>
      </c>
      <c r="AD5" s="7">
        <v>0.15448999999999999</v>
      </c>
      <c r="AE5" s="7">
        <f>(AC5+AC6)/2 - (AC5+AC4)/2</f>
        <v>6.375215E-4</v>
      </c>
      <c r="AF5" s="7">
        <f t="shared" ref="AF5:AF53" si="12">AD5*AE5*1000/100</f>
        <v>9.8490696534999983E-4</v>
      </c>
      <c r="AG5" s="7">
        <f t="shared" ref="AG5:AG53" si="13">AF5/(PI()/6*POWER(AC5,3))</f>
        <v>233850.07141698833</v>
      </c>
      <c r="AH5" s="7">
        <f t="shared" ref="AH5:AH53" si="14">AG5*PI()*POWER(AC5,2)</f>
        <v>2.9493530734563094</v>
      </c>
      <c r="AJ5" s="7">
        <v>1.03992E-3</v>
      </c>
      <c r="AK5" s="7">
        <v>0.208176</v>
      </c>
      <c r="AL5" s="7">
        <f>(AJ5+AJ6)/2 - (AJ5+AJ4)/2</f>
        <v>1.181835E-3</v>
      </c>
      <c r="AM5" s="7">
        <f t="shared" ref="AM5:AM47" si="15">AK5*AL5*1000/100</f>
        <v>2.4602968296000001E-3</v>
      </c>
      <c r="AN5" s="7">
        <f t="shared" ref="AN5:AN47" si="16">AM5/(PI()/6*POWER(AJ5,3))</f>
        <v>4178198.7270995835</v>
      </c>
      <c r="AO5" s="7">
        <f t="shared" ref="AO5:AO47" si="17">AN5*PI()*POWER(AJ5,2)</f>
        <v>14.195112102469423</v>
      </c>
    </row>
    <row r="6" spans="1:41" x14ac:dyDescent="0.25">
      <c r="A6" s="7">
        <v>1.09618E-3</v>
      </c>
      <c r="B6" s="7">
        <v>1.5947100000000001E-3</v>
      </c>
      <c r="C6" s="7">
        <f t="shared" ref="C6:C59" si="18">(A6+A7)/2 - (A6+A5)/2</f>
        <v>5.5707450000000002E-4</v>
      </c>
      <c r="D6" s="7">
        <f t="shared" si="0"/>
        <v>8.8837227589500007E-6</v>
      </c>
      <c r="E6" s="7">
        <f t="shared" si="1"/>
        <v>12881.034764259166</v>
      </c>
      <c r="F6" s="7">
        <f t="shared" si="2"/>
        <v>4.8625532808206688E-2</v>
      </c>
      <c r="H6" s="7">
        <v>8.65228E-4</v>
      </c>
      <c r="I6" s="7">
        <v>3.76422E-3</v>
      </c>
      <c r="J6" s="7">
        <f t="shared" ref="J6:J56" si="19">(H6+H7)/2 - (H6+H5)/2</f>
        <v>3.6381550000000003E-4</v>
      </c>
      <c r="K6" s="7">
        <f t="shared" si="3"/>
        <v>1.36948158141E-5</v>
      </c>
      <c r="L6" s="7">
        <f t="shared" si="4"/>
        <v>40379.959332751612</v>
      </c>
      <c r="M6" s="7">
        <f t="shared" si="5"/>
        <v>9.4967910059082714E-2</v>
      </c>
      <c r="O6" s="7">
        <v>2.4434399999999998E-3</v>
      </c>
      <c r="P6" s="7">
        <v>2.71565E-2</v>
      </c>
      <c r="Q6" s="7">
        <f t="shared" ref="Q6:Q61" si="20">(O6+O7)/2 - (O6+O5)/2</f>
        <v>1.3574500000000005E-4</v>
      </c>
      <c r="R6" s="7">
        <f t="shared" si="6"/>
        <v>3.6863590925000016E-5</v>
      </c>
      <c r="S6" s="7">
        <f t="shared" si="7"/>
        <v>4826.0740162701504</v>
      </c>
      <c r="T6" s="7">
        <f t="shared" si="8"/>
        <v>9.0520555262253263E-2</v>
      </c>
      <c r="V6" s="7">
        <v>2.1148400000000002E-3</v>
      </c>
      <c r="W6" s="7">
        <v>5.9730400000000003E-2</v>
      </c>
      <c r="X6" s="7">
        <f t="shared" ref="X6:X39" si="21">(V6+V7)/2 - (V6+V5)/2</f>
        <v>4.99345E-4</v>
      </c>
      <c r="Y6" s="7">
        <f t="shared" si="9"/>
        <v>2.9826076588000005E-4</v>
      </c>
      <c r="Z6" s="7">
        <f t="shared" si="10"/>
        <v>60223.356691784335</v>
      </c>
      <c r="AA6" s="7">
        <f t="shared" si="11"/>
        <v>0.84619384694823263</v>
      </c>
      <c r="AC6" s="7">
        <v>2.0036400000000001E-3</v>
      </c>
      <c r="AD6" s="7">
        <v>0.422711</v>
      </c>
      <c r="AE6" s="7">
        <f t="shared" ref="AE6:AE53" si="22">(AC6+AC7)/2 - (AC6+AC5)/2</f>
        <v>4.5537500000000005E-4</v>
      </c>
      <c r="AF6" s="7">
        <f t="shared" si="12"/>
        <v>1.92492021625E-3</v>
      </c>
      <c r="AG6" s="7">
        <f t="shared" si="13"/>
        <v>457040.86363335128</v>
      </c>
      <c r="AH6" s="7">
        <f t="shared" si="14"/>
        <v>5.7642696779361566</v>
      </c>
      <c r="AJ6" s="7">
        <v>2.4660300000000001E-3</v>
      </c>
      <c r="AK6" s="7">
        <v>0.55295000000000005</v>
      </c>
      <c r="AL6" s="7">
        <f t="shared" ref="AL6:AL47" si="23">(AJ6+AJ7)/2 - (AJ6+AJ5)/2</f>
        <v>1.0611800000000001E-3</v>
      </c>
      <c r="AM6" s="7">
        <f t="shared" si="15"/>
        <v>5.8677948100000011E-3</v>
      </c>
      <c r="AN6" s="7">
        <f t="shared" si="16"/>
        <v>747276.3357138295</v>
      </c>
      <c r="AO6" s="7">
        <f t="shared" si="17"/>
        <v>14.276699334557978</v>
      </c>
    </row>
    <row r="7" spans="1:41" x14ac:dyDescent="0.25">
      <c r="A7" s="7">
        <v>1.6352599999999999E-3</v>
      </c>
      <c r="B7" s="7">
        <v>1.4981599999999999E-3</v>
      </c>
      <c r="C7" s="7">
        <f t="shared" si="18"/>
        <v>5.4808000000000005E-4</v>
      </c>
      <c r="D7" s="7">
        <f t="shared" si="0"/>
        <v>8.2111153279999997E-6</v>
      </c>
      <c r="E7" s="7">
        <f t="shared" si="1"/>
        <v>3586.2708716833613</v>
      </c>
      <c r="F7" s="7">
        <f t="shared" si="2"/>
        <v>3.0127742357790203E-2</v>
      </c>
      <c r="H7" s="7">
        <v>1.2192100000000001E-3</v>
      </c>
      <c r="I7" s="7">
        <v>3.6945799999999998E-3</v>
      </c>
      <c r="J7" s="7">
        <f t="shared" si="19"/>
        <v>3.9330099999999998E-4</v>
      </c>
      <c r="K7" s="7">
        <f t="shared" si="3"/>
        <v>1.4530820085799999E-5</v>
      </c>
      <c r="L7" s="7">
        <f t="shared" si="4"/>
        <v>15312.847412123569</v>
      </c>
      <c r="M7" s="7">
        <f t="shared" si="5"/>
        <v>7.1509354840265396E-2</v>
      </c>
      <c r="O7" s="7">
        <v>2.7149299999999999E-3</v>
      </c>
      <c r="P7" s="7">
        <v>5.1809399999999999E-2</v>
      </c>
      <c r="Q7" s="7">
        <f t="shared" si="20"/>
        <v>5.4298500000000017E-4</v>
      </c>
      <c r="R7" s="7">
        <f t="shared" si="6"/>
        <v>2.8131727059000006E-4</v>
      </c>
      <c r="S7" s="7">
        <f t="shared" si="7"/>
        <v>26848.613517053516</v>
      </c>
      <c r="T7" s="7">
        <f t="shared" si="8"/>
        <v>0.62171165501136327</v>
      </c>
      <c r="V7" s="7">
        <v>2.5108299999999999E-3</v>
      </c>
      <c r="W7" s="7">
        <v>0.13945099999999999</v>
      </c>
      <c r="X7" s="7">
        <f t="shared" si="21"/>
        <v>4.3776999999999965E-4</v>
      </c>
      <c r="Y7" s="7">
        <f t="shared" si="9"/>
        <v>6.1047464269999951E-4</v>
      </c>
      <c r="Z7" s="7">
        <f t="shared" si="10"/>
        <v>73657.517878992527</v>
      </c>
      <c r="AA7" s="7">
        <f t="shared" si="11"/>
        <v>1.4588195362489684</v>
      </c>
      <c r="AC7" s="7">
        <v>2.9143900000000002E-3</v>
      </c>
      <c r="AD7" s="7">
        <v>0.69675100000000001</v>
      </c>
      <c r="AE7" s="7">
        <f t="shared" si="22"/>
        <v>8.1967499999999974E-4</v>
      </c>
      <c r="AF7" s="7">
        <f t="shared" si="12"/>
        <v>5.7110937592499992E-3</v>
      </c>
      <c r="AG7" s="7">
        <f t="shared" si="13"/>
        <v>440633.65362770221</v>
      </c>
      <c r="AH7" s="7">
        <f t="shared" si="14"/>
        <v>11.757713468513135</v>
      </c>
      <c r="AJ7" s="7">
        <v>3.16228E-3</v>
      </c>
      <c r="AK7" s="7">
        <v>1.0310299999999999</v>
      </c>
      <c r="AL7" s="7">
        <f t="shared" si="23"/>
        <v>7.6696000000000012E-4</v>
      </c>
      <c r="AM7" s="7">
        <f t="shared" si="15"/>
        <v>7.9075876880000014E-3</v>
      </c>
      <c r="AN7" s="7">
        <f t="shared" si="16"/>
        <v>477578.12947179796</v>
      </c>
      <c r="AO7" s="7">
        <f t="shared" si="17"/>
        <v>15.003581633504941</v>
      </c>
    </row>
    <row r="8" spans="1:41" x14ac:dyDescent="0.25">
      <c r="A8" s="7">
        <v>2.1923400000000001E-3</v>
      </c>
      <c r="B8" s="7">
        <v>2.2939100000000001E-3</v>
      </c>
      <c r="C8" s="7">
        <f t="shared" si="18"/>
        <v>5.1218500000000029E-4</v>
      </c>
      <c r="D8" s="7">
        <f t="shared" si="0"/>
        <v>1.1749062933500009E-5</v>
      </c>
      <c r="E8" s="7">
        <f t="shared" si="1"/>
        <v>2129.5158870391501</v>
      </c>
      <c r="F8" s="7">
        <f t="shared" si="2"/>
        <v>3.2154856272749686E-2</v>
      </c>
      <c r="H8" s="7">
        <v>1.65183E-3</v>
      </c>
      <c r="I8" s="7">
        <v>5.5766899999999996E-3</v>
      </c>
      <c r="J8" s="7">
        <f t="shared" si="19"/>
        <v>4.8179499999999992E-4</v>
      </c>
      <c r="K8" s="7">
        <f t="shared" si="3"/>
        <v>2.6868213585499995E-5</v>
      </c>
      <c r="L8" s="7">
        <f t="shared" si="4"/>
        <v>11385.290639648761</v>
      </c>
      <c r="M8" s="7">
        <f t="shared" si="5"/>
        <v>9.7594353845734713E-2</v>
      </c>
      <c r="O8" s="7">
        <v>3.5294100000000002E-3</v>
      </c>
      <c r="P8" s="7">
        <v>7.8190800000000005E-2</v>
      </c>
      <c r="Q8" s="7">
        <f t="shared" si="20"/>
        <v>7.2398499999999991E-4</v>
      </c>
      <c r="R8" s="7">
        <f t="shared" si="6"/>
        <v>5.6608966337999989E-4</v>
      </c>
      <c r="S8" s="7">
        <f t="shared" si="7"/>
        <v>24591.230862985463</v>
      </c>
      <c r="T8" s="7">
        <f t="shared" si="8"/>
        <v>0.9623529089224544</v>
      </c>
      <c r="V8" s="7">
        <v>2.9903799999999999E-3</v>
      </c>
      <c r="W8" s="7">
        <v>0.39192700000000003</v>
      </c>
      <c r="X8" s="7">
        <f t="shared" si="21"/>
        <v>2.7266000000000009E-4</v>
      </c>
      <c r="Y8" s="7">
        <f t="shared" si="9"/>
        <v>1.0686281582000005E-3</v>
      </c>
      <c r="Z8" s="7">
        <f t="shared" si="10"/>
        <v>76321.843690791604</v>
      </c>
      <c r="AA8" s="7">
        <f t="shared" si="11"/>
        <v>2.1441318324761411</v>
      </c>
      <c r="AC8" s="7">
        <v>3.64299E-3</v>
      </c>
      <c r="AD8" s="7">
        <v>1.11656</v>
      </c>
      <c r="AE8" s="7">
        <f t="shared" si="22"/>
        <v>9.1074500000000013E-4</v>
      </c>
      <c r="AF8" s="7">
        <f t="shared" si="12"/>
        <v>1.0169014372000001E-2</v>
      </c>
      <c r="AG8" s="7">
        <f t="shared" si="13"/>
        <v>401704.13432640571</v>
      </c>
      <c r="AH8" s="7">
        <f t="shared" si="14"/>
        <v>16.748354025676711</v>
      </c>
      <c r="AJ8" s="7">
        <v>3.9999500000000004E-3</v>
      </c>
      <c r="AK8" s="7">
        <v>1.4083000000000001</v>
      </c>
      <c r="AL8" s="7">
        <f t="shared" si="23"/>
        <v>1.3682600000000005E-3</v>
      </c>
      <c r="AM8" s="7">
        <f t="shared" si="15"/>
        <v>1.9269205580000007E-2</v>
      </c>
      <c r="AN8" s="7">
        <f t="shared" si="16"/>
        <v>575044.56093478401</v>
      </c>
      <c r="AO8" s="7">
        <f t="shared" si="17"/>
        <v>28.904169672120915</v>
      </c>
    </row>
    <row r="9" spans="1:41" x14ac:dyDescent="0.25">
      <c r="A9" s="7">
        <v>2.6596300000000001E-3</v>
      </c>
      <c r="B9" s="7">
        <v>4.8967799999999999E-3</v>
      </c>
      <c r="C9" s="7">
        <f t="shared" si="18"/>
        <v>4.5828499999999968E-4</v>
      </c>
      <c r="D9" s="7">
        <f t="shared" si="0"/>
        <v>2.2441208222999987E-5</v>
      </c>
      <c r="E9" s="7">
        <f t="shared" si="1"/>
        <v>2278.1585402286155</v>
      </c>
      <c r="F9" s="7">
        <f t="shared" si="2"/>
        <v>5.062630867376286E-2</v>
      </c>
      <c r="H9" s="7">
        <v>2.1827999999999999E-3</v>
      </c>
      <c r="I9" s="7">
        <v>5.4722399999999997E-3</v>
      </c>
      <c r="J9" s="7">
        <f t="shared" si="19"/>
        <v>5.5064000000000003E-4</v>
      </c>
      <c r="K9" s="7">
        <f t="shared" si="3"/>
        <v>3.0132342335999997E-5</v>
      </c>
      <c r="L9" s="7">
        <f t="shared" si="4"/>
        <v>5533.4047071759542</v>
      </c>
      <c r="M9" s="7">
        <f t="shared" si="5"/>
        <v>8.2826669422759749E-2</v>
      </c>
      <c r="O9" s="7">
        <v>4.1628999999999998E-3</v>
      </c>
      <c r="P9" s="7">
        <v>9.6654000000000004E-2</v>
      </c>
      <c r="Q9" s="7">
        <f t="shared" si="20"/>
        <v>1.1764699999999993E-3</v>
      </c>
      <c r="R9" s="7">
        <f t="shared" si="6"/>
        <v>1.1371053137999995E-3</v>
      </c>
      <c r="S9" s="7">
        <f t="shared" si="7"/>
        <v>30103.301699637304</v>
      </c>
      <c r="T9" s="7">
        <f t="shared" si="8"/>
        <v>1.6389132294314055</v>
      </c>
      <c r="V9" s="7">
        <v>3.0561500000000001E-3</v>
      </c>
      <c r="W9" s="7">
        <v>0.74076200000000003</v>
      </c>
      <c r="X9" s="7">
        <f t="shared" si="21"/>
        <v>2.6158499999999994E-4</v>
      </c>
      <c r="Y9" s="7">
        <f t="shared" si="9"/>
        <v>1.9377222776999997E-3</v>
      </c>
      <c r="Z9" s="7">
        <f t="shared" si="10"/>
        <v>129648.92240649364</v>
      </c>
      <c r="AA9" s="7">
        <f t="shared" si="11"/>
        <v>3.8042418291641447</v>
      </c>
      <c r="AC9" s="7">
        <v>4.7358799999999996E-3</v>
      </c>
      <c r="AD9" s="7">
        <v>1.7550300000000001</v>
      </c>
      <c r="AE9" s="7">
        <f t="shared" si="22"/>
        <v>1.5482699999999992E-3</v>
      </c>
      <c r="AF9" s="7">
        <f t="shared" si="12"/>
        <v>2.7172602980999983E-2</v>
      </c>
      <c r="AG9" s="7">
        <f t="shared" si="13"/>
        <v>488574.22586426185</v>
      </c>
      <c r="AH9" s="7">
        <f t="shared" si="14"/>
        <v>34.425622669070989</v>
      </c>
      <c r="AJ9" s="7">
        <v>5.8988000000000001E-3</v>
      </c>
      <c r="AK9" s="7">
        <v>1.8636600000000001</v>
      </c>
      <c r="AL9" s="7">
        <f t="shared" si="23"/>
        <v>1.7109449999999993E-3</v>
      </c>
      <c r="AM9" s="7">
        <f t="shared" si="15"/>
        <v>3.1886197586999988E-2</v>
      </c>
      <c r="AN9" s="7">
        <f t="shared" si="16"/>
        <v>296696.9595869059</v>
      </c>
      <c r="AO9" s="7">
        <f t="shared" si="17"/>
        <v>32.433238204719594</v>
      </c>
    </row>
    <row r="10" spans="1:41" x14ac:dyDescent="0.25">
      <c r="A10" s="7">
        <v>3.1089099999999999E-3</v>
      </c>
      <c r="B10" s="7">
        <v>6.6073599999999996E-3</v>
      </c>
      <c r="C10" s="7">
        <f t="shared" si="18"/>
        <v>4.0433500000000002E-4</v>
      </c>
      <c r="D10" s="7">
        <f t="shared" si="0"/>
        <v>2.6715869055999996E-5</v>
      </c>
      <c r="E10" s="7">
        <f t="shared" si="1"/>
        <v>1698.0334232177468</v>
      </c>
      <c r="F10" s="7">
        <f t="shared" si="2"/>
        <v>5.1559940408696291E-2</v>
      </c>
      <c r="H10" s="7">
        <v>2.75311E-3</v>
      </c>
      <c r="I10" s="7">
        <v>5.3600399999999999E-3</v>
      </c>
      <c r="J10" s="7">
        <f t="shared" si="19"/>
        <v>5.7024500000000004E-4</v>
      </c>
      <c r="K10" s="7">
        <f t="shared" si="3"/>
        <v>3.0565360097999999E-5</v>
      </c>
      <c r="L10" s="7">
        <f t="shared" si="4"/>
        <v>2797.4362782906937</v>
      </c>
      <c r="M10" s="7">
        <f t="shared" si="5"/>
        <v>6.6612725458844724E-2</v>
      </c>
      <c r="O10" s="7">
        <v>5.8823499999999997E-3</v>
      </c>
      <c r="P10" s="7">
        <v>0.104477</v>
      </c>
      <c r="Q10" s="7">
        <f t="shared" si="20"/>
        <v>1.5837100000000003E-3</v>
      </c>
      <c r="R10" s="7">
        <f t="shared" si="6"/>
        <v>1.6546126967000002E-3</v>
      </c>
      <c r="S10" s="7">
        <f t="shared" si="7"/>
        <v>15525.483922835163</v>
      </c>
      <c r="T10" s="7">
        <f t="shared" si="8"/>
        <v>1.6877057944868978</v>
      </c>
      <c r="V10" s="7">
        <v>3.5135499999999998E-3</v>
      </c>
      <c r="W10" s="7">
        <v>1.21251</v>
      </c>
      <c r="X10" s="7">
        <f t="shared" si="21"/>
        <v>7.6681000000000058E-4</v>
      </c>
      <c r="Y10" s="7">
        <f t="shared" si="9"/>
        <v>9.2976479310000072E-3</v>
      </c>
      <c r="Z10" s="7">
        <f t="shared" si="10"/>
        <v>409388.89703501068</v>
      </c>
      <c r="AA10" s="7">
        <f t="shared" si="11"/>
        <v>15.877356971154546</v>
      </c>
      <c r="AC10" s="7">
        <v>6.7395299999999997E-3</v>
      </c>
      <c r="AD10" s="7">
        <v>1.45763</v>
      </c>
      <c r="AE10" s="7">
        <f t="shared" si="22"/>
        <v>1.3661200000000002E-3</v>
      </c>
      <c r="AF10" s="7">
        <f t="shared" si="12"/>
        <v>1.9912974956000001E-2</v>
      </c>
      <c r="AG10" s="7">
        <f t="shared" si="13"/>
        <v>124236.35261065225</v>
      </c>
      <c r="AH10" s="7">
        <f t="shared" si="14"/>
        <v>17.727920157043595</v>
      </c>
      <c r="AJ10" s="7">
        <v>7.4218399999999999E-3</v>
      </c>
      <c r="AK10" s="7">
        <v>1.70112</v>
      </c>
      <c r="AL10" s="7">
        <f t="shared" si="23"/>
        <v>8.900900000000005E-4</v>
      </c>
      <c r="AM10" s="7">
        <f t="shared" si="15"/>
        <v>1.5141499008000008E-2</v>
      </c>
      <c r="AN10" s="7">
        <f t="shared" si="16"/>
        <v>70735.18396148608</v>
      </c>
      <c r="AO10" s="7">
        <f t="shared" si="17"/>
        <v>12.24076429133477</v>
      </c>
    </row>
    <row r="11" spans="1:41" x14ac:dyDescent="0.25">
      <c r="A11" s="7">
        <v>3.4683000000000001E-3</v>
      </c>
      <c r="B11" s="7">
        <v>6.5429900000000003E-3</v>
      </c>
      <c r="C11" s="7">
        <f t="shared" si="18"/>
        <v>4.4041000000000045E-4</v>
      </c>
      <c r="D11" s="7">
        <f t="shared" si="0"/>
        <v>2.8815982259000026E-5</v>
      </c>
      <c r="E11" s="7">
        <f t="shared" si="1"/>
        <v>1319.1216191348353</v>
      </c>
      <c r="F11" s="7">
        <f t="shared" si="2"/>
        <v>4.9850328274370775E-2</v>
      </c>
      <c r="H11" s="7">
        <v>3.32329E-3</v>
      </c>
      <c r="I11" s="7">
        <v>1.31167E-2</v>
      </c>
      <c r="J11" s="7">
        <f t="shared" si="19"/>
        <v>4.3228999999999967E-4</v>
      </c>
      <c r="K11" s="7">
        <f t="shared" si="3"/>
        <v>5.6702182429999953E-5</v>
      </c>
      <c r="L11" s="7">
        <f t="shared" si="4"/>
        <v>2950.5055126474158</v>
      </c>
      <c r="M11" s="7">
        <f t="shared" si="5"/>
        <v>0.10237237634392415</v>
      </c>
      <c r="O11" s="7">
        <v>7.3303200000000004E-3</v>
      </c>
      <c r="P11" s="7">
        <v>8.7648100000000007E-2</v>
      </c>
      <c r="Q11" s="7">
        <f t="shared" si="20"/>
        <v>1.3122200000000011E-3</v>
      </c>
      <c r="R11" s="7">
        <f t="shared" si="6"/>
        <v>1.1501358978200011E-3</v>
      </c>
      <c r="S11" s="7">
        <f t="shared" si="7"/>
        <v>5576.7571766001547</v>
      </c>
      <c r="T11" s="7">
        <f t="shared" si="8"/>
        <v>0.94140711277543232</v>
      </c>
      <c r="V11" s="7">
        <v>4.58977E-3</v>
      </c>
      <c r="W11" s="7">
        <v>1.55799</v>
      </c>
      <c r="X11" s="7">
        <f t="shared" si="21"/>
        <v>9.7637999999999978E-4</v>
      </c>
      <c r="Y11" s="7">
        <f t="shared" si="9"/>
        <v>1.5211902761999995E-2</v>
      </c>
      <c r="Z11" s="7">
        <f t="shared" si="10"/>
        <v>300477.63299092604</v>
      </c>
      <c r="AA11" s="7">
        <f t="shared" si="11"/>
        <v>19.88583666981134</v>
      </c>
      <c r="AC11" s="7">
        <v>7.46812E-3</v>
      </c>
      <c r="AD11" s="7">
        <v>1.1077600000000001</v>
      </c>
      <c r="AE11" s="7">
        <f t="shared" si="22"/>
        <v>2.732200000000011E-4</v>
      </c>
      <c r="AF11" s="7">
        <f t="shared" si="12"/>
        <v>3.0266218720000127E-3</v>
      </c>
      <c r="AG11" s="7">
        <f t="shared" si="13"/>
        <v>13877.961577288019</v>
      </c>
      <c r="AH11" s="7">
        <f t="shared" si="14"/>
        <v>2.4316335613246811</v>
      </c>
      <c r="AJ11" s="7">
        <v>7.6789800000000002E-3</v>
      </c>
      <c r="AK11" s="7">
        <v>1.45723</v>
      </c>
      <c r="AL11" s="7">
        <f t="shared" si="23"/>
        <v>6.0329999999999065E-5</v>
      </c>
      <c r="AM11" s="7">
        <f t="shared" si="15"/>
        <v>8.7914685899998641E-4</v>
      </c>
      <c r="AN11" s="7">
        <f t="shared" si="16"/>
        <v>3708.1064840625463</v>
      </c>
      <c r="AO11" s="7">
        <f t="shared" si="17"/>
        <v>0.68692471578255432</v>
      </c>
    </row>
    <row r="12" spans="1:41" x14ac:dyDescent="0.25">
      <c r="A12" s="7">
        <v>3.9897300000000004E-3</v>
      </c>
      <c r="B12" s="7">
        <v>1.71959E-2</v>
      </c>
      <c r="C12" s="7">
        <f t="shared" si="18"/>
        <v>3.5986999999999998E-4</v>
      </c>
      <c r="D12" s="7">
        <f t="shared" si="0"/>
        <v>6.1882885329999986E-5</v>
      </c>
      <c r="E12" s="7">
        <f t="shared" si="1"/>
        <v>1860.9787472164046</v>
      </c>
      <c r="F12" s="7">
        <f t="shared" si="2"/>
        <v>9.3063267935424188E-2</v>
      </c>
      <c r="H12" s="7">
        <v>3.6176899999999998E-3</v>
      </c>
      <c r="I12" s="7">
        <v>4.8468700000000003E-2</v>
      </c>
      <c r="J12" s="7">
        <f t="shared" si="19"/>
        <v>3.0414000000000005E-4</v>
      </c>
      <c r="K12" s="7">
        <f t="shared" si="3"/>
        <v>1.4741270418000004E-4</v>
      </c>
      <c r="L12" s="7">
        <f t="shared" si="4"/>
        <v>5946.2373779605932</v>
      </c>
      <c r="M12" s="7">
        <f t="shared" si="5"/>
        <v>0.24448646099582894</v>
      </c>
      <c r="O12" s="7">
        <v>8.5067900000000002E-3</v>
      </c>
      <c r="P12" s="7">
        <v>8.0527000000000001E-2</v>
      </c>
      <c r="Q12" s="7">
        <f t="shared" si="20"/>
        <v>9.9547499999999914E-4</v>
      </c>
      <c r="R12" s="7">
        <f t="shared" si="6"/>
        <v>8.0162615324999933E-4</v>
      </c>
      <c r="S12" s="7">
        <f t="shared" si="7"/>
        <v>2487.0019156316384</v>
      </c>
      <c r="T12" s="7">
        <f t="shared" si="8"/>
        <v>0.56540209873524516</v>
      </c>
      <c r="V12" s="7">
        <v>5.4663100000000003E-3</v>
      </c>
      <c r="W12" s="7">
        <v>1.88022</v>
      </c>
      <c r="X12" s="7">
        <f t="shared" si="21"/>
        <v>1.206085E-3</v>
      </c>
      <c r="Y12" s="7">
        <f t="shared" si="9"/>
        <v>2.2677051386999998E-2</v>
      </c>
      <c r="Z12" s="7">
        <f t="shared" si="10"/>
        <v>265158.27795321372</v>
      </c>
      <c r="AA12" s="7">
        <f t="shared" si="11"/>
        <v>24.89107063485239</v>
      </c>
      <c r="AC12" s="7">
        <v>7.2859700000000001E-3</v>
      </c>
      <c r="AD12" s="7">
        <v>0.92700700000000003</v>
      </c>
      <c r="AE12" s="7">
        <f t="shared" si="22"/>
        <v>5.4645000000000041E-4</v>
      </c>
      <c r="AF12" s="7">
        <f t="shared" si="12"/>
        <v>5.065629751500004E-3</v>
      </c>
      <c r="AG12" s="7">
        <f t="shared" si="13"/>
        <v>25013.39754225155</v>
      </c>
      <c r="AH12" s="7">
        <f t="shared" si="14"/>
        <v>4.1715486762915619</v>
      </c>
      <c r="AJ12" s="7">
        <v>7.5424999999999997E-3</v>
      </c>
      <c r="AK12" s="7">
        <v>1.2328300000000001</v>
      </c>
      <c r="AL12" s="7">
        <f t="shared" si="23"/>
        <v>5.7311500000000078E-4</v>
      </c>
      <c r="AM12" s="7">
        <f t="shared" si="15"/>
        <v>7.0655336545000103E-3</v>
      </c>
      <c r="AN12" s="7">
        <f t="shared" si="16"/>
        <v>31448.532932793976</v>
      </c>
      <c r="AO12" s="7">
        <f t="shared" si="17"/>
        <v>5.620576987338425</v>
      </c>
    </row>
    <row r="13" spans="1:41" x14ac:dyDescent="0.25">
      <c r="A13" s="7">
        <v>4.1880399999999996E-3</v>
      </c>
      <c r="B13" s="7">
        <v>3.8652899999999997E-2</v>
      </c>
      <c r="C13" s="7">
        <f t="shared" si="18"/>
        <v>2.4339499999999955E-4</v>
      </c>
      <c r="D13" s="7">
        <f t="shared" si="0"/>
        <v>9.4079225954999819E-5</v>
      </c>
      <c r="E13" s="7">
        <f t="shared" si="1"/>
        <v>2446.0349059601708</v>
      </c>
      <c r="F13" s="7">
        <f t="shared" si="2"/>
        <v>0.13478270401667583</v>
      </c>
      <c r="H13" s="7">
        <v>3.9315699999999997E-3</v>
      </c>
      <c r="I13" s="7">
        <v>9.5619999999999997E-2</v>
      </c>
      <c r="J13" s="7">
        <f t="shared" si="19"/>
        <v>2.9405000000000013E-4</v>
      </c>
      <c r="K13" s="7">
        <f t="shared" si="3"/>
        <v>2.8117061000000013E-4</v>
      </c>
      <c r="L13" s="7">
        <f t="shared" si="4"/>
        <v>8836.3571966581167</v>
      </c>
      <c r="M13" s="7">
        <f t="shared" si="5"/>
        <v>0.42909668656541816</v>
      </c>
      <c r="O13" s="7">
        <v>9.3212699999999996E-3</v>
      </c>
      <c r="P13" s="7">
        <v>7.2547299999999995E-2</v>
      </c>
      <c r="Q13" s="7">
        <f t="shared" si="20"/>
        <v>1.2669550000000002E-3</v>
      </c>
      <c r="R13" s="7">
        <f t="shared" si="6"/>
        <v>9.1914164471500008E-4</v>
      </c>
      <c r="S13" s="7">
        <f t="shared" si="7"/>
        <v>2167.4972620979584</v>
      </c>
      <c r="T13" s="7">
        <f t="shared" si="8"/>
        <v>0.59164146820014885</v>
      </c>
      <c r="V13" s="7">
        <v>7.0019399999999999E-3</v>
      </c>
      <c r="W13" s="7">
        <v>1.6775100000000001</v>
      </c>
      <c r="X13" s="7">
        <f t="shared" si="21"/>
        <v>7.847599999999998E-4</v>
      </c>
      <c r="Y13" s="7">
        <f t="shared" si="9"/>
        <v>1.3164427475999996E-2</v>
      </c>
      <c r="Z13" s="7">
        <f t="shared" si="10"/>
        <v>73239.97697850423</v>
      </c>
      <c r="AA13" s="7">
        <f t="shared" si="11"/>
        <v>11.280668622695995</v>
      </c>
      <c r="AC13" s="7">
        <v>8.5610200000000008E-3</v>
      </c>
      <c r="AD13" s="7">
        <v>0.64710599999999996</v>
      </c>
      <c r="AE13" s="7">
        <f t="shared" si="22"/>
        <v>1.0018249999999996E-3</v>
      </c>
      <c r="AF13" s="7">
        <f t="shared" si="12"/>
        <v>6.4828696844999971E-3</v>
      </c>
      <c r="AG13" s="7">
        <f t="shared" si="13"/>
        <v>19732.955408479284</v>
      </c>
      <c r="AH13" s="7">
        <f t="shared" si="14"/>
        <v>4.5435261343858544</v>
      </c>
      <c r="AJ13" s="7">
        <v>8.82521E-3</v>
      </c>
      <c r="AK13" s="7">
        <v>1.0084900000000001</v>
      </c>
      <c r="AL13" s="7">
        <f t="shared" si="23"/>
        <v>6.9228500000000082E-4</v>
      </c>
      <c r="AM13" s="7">
        <f t="shared" si="15"/>
        <v>6.9816249965000089E-3</v>
      </c>
      <c r="AN13" s="7">
        <f t="shared" si="16"/>
        <v>19399.152195479237</v>
      </c>
      <c r="AO13" s="7">
        <f t="shared" si="17"/>
        <v>4.7466009283631836</v>
      </c>
    </row>
    <row r="14" spans="1:41" x14ac:dyDescent="0.25">
      <c r="A14" s="7">
        <v>4.4765200000000003E-3</v>
      </c>
      <c r="B14" s="7">
        <v>7.084E-2</v>
      </c>
      <c r="C14" s="7">
        <f t="shared" si="18"/>
        <v>3.1572500000000021E-4</v>
      </c>
      <c r="D14" s="7">
        <f t="shared" si="0"/>
        <v>2.2365959000000016E-4</v>
      </c>
      <c r="E14" s="7">
        <f t="shared" si="1"/>
        <v>4761.7579403491509</v>
      </c>
      <c r="F14" s="7">
        <f t="shared" si="2"/>
        <v>0.29977695620705391</v>
      </c>
      <c r="H14" s="7">
        <v>4.20579E-3</v>
      </c>
      <c r="I14" s="7">
        <v>0.16245100000000001</v>
      </c>
      <c r="J14" s="7">
        <f t="shared" si="19"/>
        <v>2.3490999999999963E-4</v>
      </c>
      <c r="K14" s="7">
        <f t="shared" si="3"/>
        <v>3.816136440999994E-4</v>
      </c>
      <c r="L14" s="7">
        <f t="shared" si="4"/>
        <v>9796.7611407657168</v>
      </c>
      <c r="M14" s="7">
        <f t="shared" si="5"/>
        <v>0.54441183810889193</v>
      </c>
      <c r="O14" s="7">
        <v>1.1040700000000001E-2</v>
      </c>
      <c r="P14" s="7">
        <v>6.8917000000000006E-2</v>
      </c>
      <c r="Q14" s="7">
        <f t="shared" si="20"/>
        <v>2.0362150000000009E-3</v>
      </c>
      <c r="R14" s="7">
        <f t="shared" si="6"/>
        <v>1.4032982915500008E-3</v>
      </c>
      <c r="S14" s="7">
        <f t="shared" si="7"/>
        <v>1991.4139553887328</v>
      </c>
      <c r="T14" s="7">
        <f t="shared" si="8"/>
        <v>0.7626137608394401</v>
      </c>
      <c r="V14" s="7">
        <v>7.0358299999999999E-3</v>
      </c>
      <c r="W14" s="7">
        <v>1.34196</v>
      </c>
      <c r="X14" s="7">
        <f t="shared" si="21"/>
        <v>6.9180000000000023E-4</v>
      </c>
      <c r="Y14" s="7">
        <f t="shared" si="9"/>
        <v>9.2836792800000036E-3</v>
      </c>
      <c r="Z14" s="7">
        <f t="shared" si="10"/>
        <v>50906.764335690685</v>
      </c>
      <c r="AA14" s="7">
        <f t="shared" si="11"/>
        <v>7.9169160823954003</v>
      </c>
      <c r="AC14" s="7">
        <v>9.2896200000000002E-3</v>
      </c>
      <c r="AD14" s="7">
        <v>0.49549100000000001</v>
      </c>
      <c r="AE14" s="7">
        <f t="shared" si="22"/>
        <v>1.0018400000000004E-3</v>
      </c>
      <c r="AF14" s="7">
        <f t="shared" si="12"/>
        <v>4.9640270344000021E-3</v>
      </c>
      <c r="AG14" s="7">
        <f t="shared" si="13"/>
        <v>11826.103300659213</v>
      </c>
      <c r="AH14" s="7">
        <f t="shared" si="14"/>
        <v>3.2061765934882178</v>
      </c>
      <c r="AJ14" s="7">
        <v>8.9270700000000005E-3</v>
      </c>
      <c r="AK14" s="7">
        <v>0.84264300000000003</v>
      </c>
      <c r="AL14" s="7">
        <f t="shared" si="23"/>
        <v>5.938949999999988E-4</v>
      </c>
      <c r="AM14" s="7">
        <f t="shared" si="15"/>
        <v>5.0044146448499889E-3</v>
      </c>
      <c r="AN14" s="7">
        <f t="shared" si="16"/>
        <v>13434.695989612565</v>
      </c>
      <c r="AO14" s="7">
        <f t="shared" si="17"/>
        <v>3.3635322529228442</v>
      </c>
    </row>
    <row r="15" spans="1:41" x14ac:dyDescent="0.25">
      <c r="A15" s="7">
        <v>4.8194900000000001E-3</v>
      </c>
      <c r="B15" s="7">
        <v>0.12271899999999999</v>
      </c>
      <c r="C15" s="7">
        <f t="shared" si="18"/>
        <v>2.7104000000000017E-4</v>
      </c>
      <c r="D15" s="7">
        <f t="shared" si="0"/>
        <v>3.3261757760000017E-4</v>
      </c>
      <c r="E15" s="7">
        <f t="shared" si="1"/>
        <v>5674.7054435599057</v>
      </c>
      <c r="F15" s="7">
        <f t="shared" si="2"/>
        <v>0.41409059166011369</v>
      </c>
      <c r="H15" s="7">
        <v>4.4013899999999998E-3</v>
      </c>
      <c r="I15" s="7">
        <v>0.22733100000000001</v>
      </c>
      <c r="J15" s="7">
        <f t="shared" si="19"/>
        <v>1.8570000000000045E-4</v>
      </c>
      <c r="K15" s="7">
        <f t="shared" si="3"/>
        <v>4.2215366700000106E-4</v>
      </c>
      <c r="L15" s="7">
        <f t="shared" si="4"/>
        <v>9455.8894590556029</v>
      </c>
      <c r="M15" s="7">
        <f t="shared" si="5"/>
        <v>0.57548229127616657</v>
      </c>
      <c r="O15" s="7">
        <v>1.33937E-2</v>
      </c>
      <c r="P15" s="7">
        <v>7.0533999999999999E-2</v>
      </c>
      <c r="Q15" s="7">
        <f t="shared" si="20"/>
        <v>2.2624499999999992E-3</v>
      </c>
      <c r="R15" s="7">
        <f t="shared" si="6"/>
        <v>1.5957964829999994E-3</v>
      </c>
      <c r="S15" s="7">
        <f t="shared" si="7"/>
        <v>1268.4611779460577</v>
      </c>
      <c r="T15" s="7">
        <f t="shared" si="8"/>
        <v>0.71487183511650987</v>
      </c>
      <c r="V15" s="7">
        <v>8.3855400000000004E-3</v>
      </c>
      <c r="W15" s="7">
        <v>0.97978799999999999</v>
      </c>
      <c r="X15" s="7">
        <f t="shared" si="21"/>
        <v>8.396299999999992E-4</v>
      </c>
      <c r="Y15" s="7">
        <f t="shared" si="9"/>
        <v>8.2265939843999929E-3</v>
      </c>
      <c r="Z15" s="7">
        <f t="shared" si="10"/>
        <v>26645.773788198887</v>
      </c>
      <c r="AA15" s="7">
        <f t="shared" si="11"/>
        <v>5.8862713559770699</v>
      </c>
      <c r="AC15" s="7">
        <v>1.05647E-2</v>
      </c>
      <c r="AD15" s="7">
        <v>0.35261599999999999</v>
      </c>
      <c r="AE15" s="7">
        <f t="shared" si="22"/>
        <v>1.9125899999999987E-3</v>
      </c>
      <c r="AF15" s="7">
        <f t="shared" si="12"/>
        <v>6.7440983543999959E-3</v>
      </c>
      <c r="AG15" s="7">
        <f t="shared" si="13"/>
        <v>10923.297590503822</v>
      </c>
      <c r="AH15" s="7">
        <f t="shared" si="14"/>
        <v>3.8301693494751374</v>
      </c>
      <c r="AJ15" s="7">
        <v>1.0012999999999999E-2</v>
      </c>
      <c r="AK15" s="7">
        <v>0.62805299999999997</v>
      </c>
      <c r="AL15" s="7">
        <f t="shared" si="23"/>
        <v>9.9146499999999867E-4</v>
      </c>
      <c r="AM15" s="7">
        <f t="shared" si="15"/>
        <v>6.226925676449991E-3</v>
      </c>
      <c r="AN15" s="7">
        <f t="shared" si="16"/>
        <v>11846.291396902721</v>
      </c>
      <c r="AO15" s="7">
        <f t="shared" si="17"/>
        <v>3.7313047097473233</v>
      </c>
    </row>
    <row r="16" spans="1:41" x14ac:dyDescent="0.25">
      <c r="A16" s="7">
        <v>5.0185999999999998E-3</v>
      </c>
      <c r="B16" s="7">
        <v>0.171041</v>
      </c>
      <c r="C16" s="7">
        <f t="shared" si="18"/>
        <v>1.6330499999999901E-4</v>
      </c>
      <c r="D16" s="7">
        <f t="shared" si="0"/>
        <v>2.7931850504999827E-4</v>
      </c>
      <c r="E16" s="7">
        <f t="shared" si="1"/>
        <v>4220.3973323421305</v>
      </c>
      <c r="F16" s="7">
        <f t="shared" si="2"/>
        <v>0.33393994944805117</v>
      </c>
      <c r="H16" s="7">
        <v>4.5771900000000001E-3</v>
      </c>
      <c r="I16" s="7">
        <v>0.30008299999999999</v>
      </c>
      <c r="J16" s="7">
        <f t="shared" si="19"/>
        <v>2.2492999999999992E-4</v>
      </c>
      <c r="K16" s="7">
        <f t="shared" si="3"/>
        <v>6.7497669189999973E-4</v>
      </c>
      <c r="L16" s="7">
        <f t="shared" si="4"/>
        <v>13442.911283382824</v>
      </c>
      <c r="M16" s="7">
        <f t="shared" si="5"/>
        <v>0.88479179396092322</v>
      </c>
      <c r="O16" s="7">
        <v>1.5565600000000001E-2</v>
      </c>
      <c r="P16" s="7">
        <v>7.7448500000000003E-2</v>
      </c>
      <c r="Q16" s="7">
        <f t="shared" si="20"/>
        <v>1.8099500000000011E-3</v>
      </c>
      <c r="R16" s="7">
        <f t="shared" si="6"/>
        <v>1.4017791257500008E-3</v>
      </c>
      <c r="S16" s="7">
        <f t="shared" si="7"/>
        <v>709.87743030417187</v>
      </c>
      <c r="T16" s="7">
        <f t="shared" si="8"/>
        <v>0.54033733068432999</v>
      </c>
      <c r="V16" s="7">
        <v>8.71509E-3</v>
      </c>
      <c r="W16" s="7">
        <v>0.71731800000000001</v>
      </c>
      <c r="X16" s="7">
        <f t="shared" si="21"/>
        <v>7.8375500000000056E-4</v>
      </c>
      <c r="Y16" s="7">
        <f t="shared" si="9"/>
        <v>5.622015690900004E-3</v>
      </c>
      <c r="Z16" s="7">
        <f t="shared" si="10"/>
        <v>16221.006633287479</v>
      </c>
      <c r="AA16" s="7">
        <f t="shared" si="11"/>
        <v>3.8705388177746909</v>
      </c>
      <c r="AC16" s="7">
        <v>1.3114799999999999E-2</v>
      </c>
      <c r="AD16" s="7">
        <v>0.24762200000000001</v>
      </c>
      <c r="AE16" s="7">
        <f t="shared" si="22"/>
        <v>3.3697499999999995E-3</v>
      </c>
      <c r="AF16" s="7">
        <f t="shared" si="12"/>
        <v>8.344242344999999E-3</v>
      </c>
      <c r="AG16" s="7">
        <f t="shared" si="13"/>
        <v>7064.8552909162809</v>
      </c>
      <c r="AH16" s="7">
        <f t="shared" si="14"/>
        <v>3.8174775116662092</v>
      </c>
      <c r="AJ16" s="7">
        <v>1.091E-2</v>
      </c>
      <c r="AK16" s="7">
        <v>0.43622</v>
      </c>
      <c r="AL16" s="7">
        <f t="shared" si="23"/>
        <v>1.3054500000000014E-3</v>
      </c>
      <c r="AM16" s="7">
        <f t="shared" si="15"/>
        <v>5.6946339900000057E-3</v>
      </c>
      <c r="AN16" s="7">
        <f t="shared" si="16"/>
        <v>8375.1567085352235</v>
      </c>
      <c r="AO16" s="7">
        <f t="shared" si="17"/>
        <v>3.1317877121906541</v>
      </c>
    </row>
    <row r="17" spans="1:41" x14ac:dyDescent="0.25">
      <c r="A17" s="7">
        <v>5.1460999999999998E-3</v>
      </c>
      <c r="B17" s="7">
        <v>0.22833200000000001</v>
      </c>
      <c r="C17" s="7">
        <f t="shared" si="18"/>
        <v>1.1873000000000092E-4</v>
      </c>
      <c r="D17" s="7">
        <f t="shared" si="0"/>
        <v>2.7109858360000209E-4</v>
      </c>
      <c r="E17" s="7">
        <f t="shared" si="1"/>
        <v>3799.2157980840584</v>
      </c>
      <c r="F17" s="7">
        <f t="shared" si="2"/>
        <v>0.3160823733701274</v>
      </c>
      <c r="H17" s="7">
        <v>4.8512499999999997E-3</v>
      </c>
      <c r="I17" s="7">
        <v>0.376751</v>
      </c>
      <c r="J17" s="7">
        <f t="shared" si="19"/>
        <v>1.5612999999999998E-4</v>
      </c>
      <c r="K17" s="7">
        <f t="shared" si="3"/>
        <v>5.8822133629999999E-4</v>
      </c>
      <c r="L17" s="7">
        <f t="shared" si="4"/>
        <v>9839.6847369608768</v>
      </c>
      <c r="M17" s="7">
        <f t="shared" si="5"/>
        <v>0.72750899619685661</v>
      </c>
      <c r="O17" s="7">
        <v>1.70136E-2</v>
      </c>
      <c r="P17" s="7">
        <v>9.4980400000000006E-2</v>
      </c>
      <c r="Q17" s="7">
        <f t="shared" si="20"/>
        <v>1.4026999999999998E-3</v>
      </c>
      <c r="R17" s="7">
        <f t="shared" si="6"/>
        <v>1.3322900707999998E-3</v>
      </c>
      <c r="S17" s="7">
        <f t="shared" si="7"/>
        <v>516.6679411287887</v>
      </c>
      <c r="T17" s="7">
        <f t="shared" si="8"/>
        <v>0.46984414966850047</v>
      </c>
      <c r="V17" s="7">
        <v>9.9530499999999997E-3</v>
      </c>
      <c r="W17" s="7">
        <v>0.46146300000000001</v>
      </c>
      <c r="X17" s="7">
        <f t="shared" si="21"/>
        <v>9.8140500000000117E-4</v>
      </c>
      <c r="Y17" s="7">
        <f t="shared" si="9"/>
        <v>4.5288209551500053E-3</v>
      </c>
      <c r="Z17" s="7">
        <f t="shared" si="10"/>
        <v>8772.3908191530409</v>
      </c>
      <c r="AA17" s="7">
        <f t="shared" si="11"/>
        <v>2.7301104416133781</v>
      </c>
      <c r="AC17" s="7">
        <v>1.7304199999999999E-2</v>
      </c>
      <c r="AD17" s="7">
        <v>0.24173</v>
      </c>
      <c r="AE17" s="7">
        <f t="shared" si="22"/>
        <v>5.1001499999999995E-3</v>
      </c>
      <c r="AF17" s="7">
        <f t="shared" si="12"/>
        <v>1.2328592594999998E-2</v>
      </c>
      <c r="AG17" s="7">
        <f t="shared" si="13"/>
        <v>4544.2299641115296</v>
      </c>
      <c r="AH17" s="7">
        <f t="shared" si="14"/>
        <v>4.2747746541302112</v>
      </c>
      <c r="AJ17" s="7">
        <v>1.26239E-2</v>
      </c>
      <c r="AK17" s="7">
        <v>0.25417600000000001</v>
      </c>
      <c r="AL17" s="7">
        <f t="shared" si="23"/>
        <v>4.2679499999999978E-3</v>
      </c>
      <c r="AM17" s="7">
        <f t="shared" si="15"/>
        <v>1.0848104591999995E-2</v>
      </c>
      <c r="AN17" s="7">
        <f t="shared" si="16"/>
        <v>10298.514969756003</v>
      </c>
      <c r="AO17" s="7">
        <f t="shared" si="17"/>
        <v>5.1559840898612919</v>
      </c>
    </row>
    <row r="18" spans="1:41" x14ac:dyDescent="0.25">
      <c r="A18" s="7">
        <v>5.2560599999999999E-3</v>
      </c>
      <c r="B18" s="7">
        <v>0.299954</v>
      </c>
      <c r="C18" s="7">
        <f t="shared" si="18"/>
        <v>1.0103000000000022E-4</v>
      </c>
      <c r="D18" s="7">
        <f t="shared" si="0"/>
        <v>3.0304352620000064E-4</v>
      </c>
      <c r="E18" s="7">
        <f t="shared" si="1"/>
        <v>3985.8912541515738</v>
      </c>
      <c r="F18" s="7">
        <f t="shared" si="2"/>
        <v>0.34593614935902633</v>
      </c>
      <c r="H18" s="7">
        <v>4.88945E-3</v>
      </c>
      <c r="I18" s="7">
        <v>0.44559599999999999</v>
      </c>
      <c r="J18" s="7">
        <f t="shared" si="19"/>
        <v>9.7120000000000019E-5</v>
      </c>
      <c r="K18" s="7">
        <f t="shared" si="3"/>
        <v>4.3276283520000009E-4</v>
      </c>
      <c r="L18" s="7">
        <f t="shared" si="4"/>
        <v>7070.8448344160615</v>
      </c>
      <c r="M18" s="7">
        <f t="shared" si="5"/>
        <v>0.53105707414944447</v>
      </c>
      <c r="O18" s="7">
        <v>1.8370999999999998E-2</v>
      </c>
      <c r="P18" s="7">
        <v>0.108113</v>
      </c>
      <c r="Q18" s="7">
        <f t="shared" si="20"/>
        <v>1.4479499999999965E-3</v>
      </c>
      <c r="R18" s="7">
        <f t="shared" si="6"/>
        <v>1.5654221834999961E-3</v>
      </c>
      <c r="S18" s="7">
        <f t="shared" si="7"/>
        <v>482.20806536490994</v>
      </c>
      <c r="T18" s="7">
        <f t="shared" si="8"/>
        <v>0.51126956077513352</v>
      </c>
      <c r="V18" s="7">
        <v>1.0677900000000001E-2</v>
      </c>
      <c r="W18" s="7">
        <v>0.28536</v>
      </c>
      <c r="X18" s="7">
        <f t="shared" si="21"/>
        <v>8.2102499999999953E-4</v>
      </c>
      <c r="Y18" s="7">
        <f t="shared" si="9"/>
        <v>2.3428769399999987E-3</v>
      </c>
      <c r="Z18" s="7">
        <f t="shared" si="10"/>
        <v>3675.304341121051</v>
      </c>
      <c r="AA18" s="7">
        <f t="shared" si="11"/>
        <v>1.3164818587924585</v>
      </c>
      <c r="AC18" s="7">
        <v>2.3315099999999998E-2</v>
      </c>
      <c r="AD18" s="7">
        <v>0.317444</v>
      </c>
      <c r="AE18" s="7">
        <f t="shared" si="22"/>
        <v>5.0091000000000024E-3</v>
      </c>
      <c r="AF18" s="7">
        <f t="shared" si="12"/>
        <v>1.5901087404000008E-2</v>
      </c>
      <c r="AG18" s="7">
        <f t="shared" si="13"/>
        <v>2396.1629842852635</v>
      </c>
      <c r="AH18" s="7">
        <f t="shared" si="14"/>
        <v>4.0920486905052966</v>
      </c>
      <c r="AJ18" s="7">
        <v>1.9445899999999999E-2</v>
      </c>
      <c r="AK18" s="7">
        <v>0.13738</v>
      </c>
      <c r="AL18" s="7">
        <f t="shared" si="23"/>
        <v>9.4745000000000038E-3</v>
      </c>
      <c r="AM18" s="7">
        <f t="shared" si="15"/>
        <v>1.3016068100000005E-2</v>
      </c>
      <c r="AN18" s="7">
        <f t="shared" si="16"/>
        <v>3380.6253646238447</v>
      </c>
      <c r="AO18" s="7">
        <f t="shared" si="17"/>
        <v>4.0160860952694417</v>
      </c>
    </row>
    <row r="19" spans="1:41" x14ac:dyDescent="0.25">
      <c r="A19" s="7">
        <v>5.3481600000000002E-3</v>
      </c>
      <c r="B19" s="7">
        <v>0.375162</v>
      </c>
      <c r="C19" s="7">
        <f t="shared" si="18"/>
        <v>1.0998999999999905E-4</v>
      </c>
      <c r="D19" s="7">
        <f t="shared" si="0"/>
        <v>4.1264068379999642E-4</v>
      </c>
      <c r="E19" s="7">
        <f t="shared" si="1"/>
        <v>5151.8148625359163</v>
      </c>
      <c r="F19" s="7">
        <f t="shared" si="2"/>
        <v>0.462933813274094</v>
      </c>
      <c r="H19" s="7">
        <v>5.0454899999999997E-3</v>
      </c>
      <c r="I19" s="7">
        <v>0.52425299999999997</v>
      </c>
      <c r="J19" s="7">
        <f t="shared" si="19"/>
        <v>1.364550000000006E-4</v>
      </c>
      <c r="K19" s="7">
        <f t="shared" si="3"/>
        <v>7.1536943115000306E-4</v>
      </c>
      <c r="L19" s="7">
        <f t="shared" si="4"/>
        <v>10637.062390659998</v>
      </c>
      <c r="M19" s="7">
        <f t="shared" si="5"/>
        <v>0.85070361588270282</v>
      </c>
      <c r="O19" s="7">
        <v>1.99095E-2</v>
      </c>
      <c r="P19" s="7">
        <v>0.111542</v>
      </c>
      <c r="Q19" s="7">
        <f t="shared" si="20"/>
        <v>1.5837500000000018E-3</v>
      </c>
      <c r="R19" s="7">
        <f t="shared" si="6"/>
        <v>1.7665464250000021E-3</v>
      </c>
      <c r="S19" s="7">
        <f t="shared" si="7"/>
        <v>427.50910882344982</v>
      </c>
      <c r="T19" s="7">
        <f t="shared" si="8"/>
        <v>0.53237291494010464</v>
      </c>
      <c r="V19" s="7">
        <v>1.1595100000000001E-2</v>
      </c>
      <c r="W19" s="7">
        <v>0.205595</v>
      </c>
      <c r="X19" s="7">
        <f t="shared" si="21"/>
        <v>1.3193500000000004E-3</v>
      </c>
      <c r="Y19" s="7">
        <f t="shared" si="9"/>
        <v>2.7125176325000005E-3</v>
      </c>
      <c r="Z19" s="7">
        <f t="shared" si="10"/>
        <v>3323.1538819315142</v>
      </c>
      <c r="AA19" s="7">
        <f t="shared" si="11"/>
        <v>1.403619269777751</v>
      </c>
      <c r="AC19" s="7">
        <v>2.73224E-2</v>
      </c>
      <c r="AD19" s="7">
        <v>0.41942699999999999</v>
      </c>
      <c r="AE19" s="7">
        <f t="shared" si="22"/>
        <v>3.3697499999999977E-3</v>
      </c>
      <c r="AF19" s="7">
        <f t="shared" si="12"/>
        <v>1.4133641332499992E-2</v>
      </c>
      <c r="AG19" s="7">
        <f t="shared" si="13"/>
        <v>1323.4237019976017</v>
      </c>
      <c r="AH19" s="7">
        <f t="shared" si="14"/>
        <v>3.1037481332166994</v>
      </c>
      <c r="AJ19" s="7">
        <v>3.1572900000000001E-2</v>
      </c>
      <c r="AK19" s="7">
        <v>7.6084299999999994E-2</v>
      </c>
      <c r="AL19" s="7">
        <f t="shared" si="23"/>
        <v>1.0823949999999999E-2</v>
      </c>
      <c r="AM19" s="7">
        <f t="shared" si="15"/>
        <v>8.2353265898499981E-3</v>
      </c>
      <c r="AN19" s="7">
        <f t="shared" si="16"/>
        <v>499.73386654493186</v>
      </c>
      <c r="AO19" s="7">
        <f t="shared" si="17"/>
        <v>1.5650117518219737</v>
      </c>
    </row>
    <row r="20" spans="1:41" x14ac:dyDescent="0.25">
      <c r="A20" s="7">
        <v>5.4760399999999997E-3</v>
      </c>
      <c r="B20" s="7">
        <v>0.44498900000000002</v>
      </c>
      <c r="C20" s="7">
        <f t="shared" si="18"/>
        <v>1.4611500000000048E-4</v>
      </c>
      <c r="D20" s="7">
        <f t="shared" si="0"/>
        <v>6.5019567735000216E-4</v>
      </c>
      <c r="E20" s="7">
        <f t="shared" si="1"/>
        <v>7562.1557906633343</v>
      </c>
      <c r="F20" s="7">
        <f t="shared" si="2"/>
        <v>0.71240788308705072</v>
      </c>
      <c r="H20" s="7">
        <v>5.1623600000000004E-3</v>
      </c>
      <c r="I20" s="7">
        <v>0.59308300000000003</v>
      </c>
      <c r="J20" s="7">
        <f t="shared" si="19"/>
        <v>7.7549999999999147E-5</v>
      </c>
      <c r="K20" s="7">
        <f t="shared" si="3"/>
        <v>4.5993586649999504E-4</v>
      </c>
      <c r="L20" s="7">
        <f t="shared" si="4"/>
        <v>6384.8955114731843</v>
      </c>
      <c r="M20" s="7">
        <f t="shared" si="5"/>
        <v>0.53456465628123007</v>
      </c>
      <c r="O20" s="7">
        <v>2.1538499999999999E-2</v>
      </c>
      <c r="P20" s="7">
        <v>0.120252</v>
      </c>
      <c r="Q20" s="7">
        <f t="shared" si="20"/>
        <v>9.9549999999999986E-4</v>
      </c>
      <c r="R20" s="7">
        <f t="shared" si="6"/>
        <v>1.1971086599999999E-3</v>
      </c>
      <c r="S20" s="7">
        <f t="shared" si="7"/>
        <v>228.81715766300974</v>
      </c>
      <c r="T20" s="7">
        <f t="shared" si="8"/>
        <v>0.33347967407201057</v>
      </c>
      <c r="V20" s="7">
        <v>1.33166E-2</v>
      </c>
      <c r="W20" s="7">
        <v>0.16234799999999999</v>
      </c>
      <c r="X20" s="7">
        <f t="shared" si="21"/>
        <v>2.1272499999999972E-3</v>
      </c>
      <c r="Y20" s="7">
        <f t="shared" si="9"/>
        <v>3.4535478299999953E-3</v>
      </c>
      <c r="Z20" s="7">
        <f t="shared" si="10"/>
        <v>2793.1019540274397</v>
      </c>
      <c r="AA20" s="7">
        <f t="shared" si="11"/>
        <v>1.5560493654536423</v>
      </c>
      <c r="AC20" s="7">
        <v>3.0054600000000001E-2</v>
      </c>
      <c r="AD20" s="7">
        <v>0.54475099999999999</v>
      </c>
      <c r="AE20" s="7">
        <f t="shared" si="22"/>
        <v>2.4590000000000029E-3</v>
      </c>
      <c r="AF20" s="7">
        <f t="shared" si="12"/>
        <v>1.3395427090000014E-2</v>
      </c>
      <c r="AG20" s="7">
        <f t="shared" si="13"/>
        <v>942.37788478175707</v>
      </c>
      <c r="AH20" s="7">
        <f t="shared" si="14"/>
        <v>2.6742183406200741</v>
      </c>
      <c r="AJ20" s="7">
        <v>4.10938E-2</v>
      </c>
      <c r="AK20" s="7">
        <v>6.3463199999999997E-2</v>
      </c>
      <c r="AL20" s="7">
        <f t="shared" si="23"/>
        <v>1.1340650000000001E-2</v>
      </c>
      <c r="AM20" s="7">
        <f t="shared" si="15"/>
        <v>7.1971393908E-3</v>
      </c>
      <c r="AN20" s="7">
        <f t="shared" si="16"/>
        <v>198.0762397768396</v>
      </c>
      <c r="AO20" s="7">
        <f t="shared" si="17"/>
        <v>1.0508358035713417</v>
      </c>
    </row>
    <row r="21" spans="1:41" x14ac:dyDescent="0.25">
      <c r="A21" s="7">
        <v>5.6403900000000003E-3</v>
      </c>
      <c r="B21" s="7">
        <v>0.532721</v>
      </c>
      <c r="C21" s="7">
        <f t="shared" si="18"/>
        <v>1.3734500000000052E-4</v>
      </c>
      <c r="D21" s="7">
        <f t="shared" si="0"/>
        <v>7.3166565745000291E-4</v>
      </c>
      <c r="E21" s="7">
        <f t="shared" si="1"/>
        <v>7787.295351857706</v>
      </c>
      <c r="F21" s="7">
        <f t="shared" si="2"/>
        <v>0.77831390111322385</v>
      </c>
      <c r="H21" s="7">
        <v>5.2005899999999997E-3</v>
      </c>
      <c r="I21" s="7">
        <v>0.65996100000000002</v>
      </c>
      <c r="J21" s="7">
        <f t="shared" si="19"/>
        <v>5.7945000000000219E-5</v>
      </c>
      <c r="K21" s="7">
        <f t="shared" si="3"/>
        <v>3.8241440145000147E-4</v>
      </c>
      <c r="L21" s="7">
        <f t="shared" si="4"/>
        <v>5192.5150878978648</v>
      </c>
      <c r="M21" s="7">
        <f t="shared" si="5"/>
        <v>0.44119732736093575</v>
      </c>
      <c r="O21" s="7">
        <v>2.19005E-2</v>
      </c>
      <c r="P21" s="7">
        <v>0.14401800000000001</v>
      </c>
      <c r="Q21" s="7">
        <f t="shared" si="20"/>
        <v>4.0719999999999992E-4</v>
      </c>
      <c r="R21" s="7">
        <f t="shared" si="6"/>
        <v>5.8644129599999995E-4</v>
      </c>
      <c r="S21" s="7">
        <f t="shared" si="7"/>
        <v>106.62617551779844</v>
      </c>
      <c r="T21" s="7">
        <f t="shared" si="8"/>
        <v>0.16066518006438207</v>
      </c>
      <c r="V21" s="7">
        <v>1.5849599999999998E-2</v>
      </c>
      <c r="W21" s="7">
        <v>8.5852200000000004E-2</v>
      </c>
      <c r="X21" s="7">
        <f t="shared" si="21"/>
        <v>2.6304500000000029E-3</v>
      </c>
      <c r="Y21" s="7">
        <f t="shared" si="9"/>
        <v>2.2582991949000025E-3</v>
      </c>
      <c r="Z21" s="7">
        <f t="shared" si="10"/>
        <v>1083.2481062873144</v>
      </c>
      <c r="AA21" s="7">
        <f t="shared" si="11"/>
        <v>0.85489824155814753</v>
      </c>
      <c r="AC21" s="7">
        <v>3.2240400000000002E-2</v>
      </c>
      <c r="AD21" s="7">
        <v>0.66133799999999998</v>
      </c>
      <c r="AE21" s="7">
        <f t="shared" si="22"/>
        <v>1.5482999999999955E-3</v>
      </c>
      <c r="AF21" s="7">
        <f t="shared" si="12"/>
        <v>1.0239496253999971E-2</v>
      </c>
      <c r="AG21" s="7">
        <f t="shared" si="13"/>
        <v>583.550848723027</v>
      </c>
      <c r="AH21" s="7">
        <f t="shared" si="14"/>
        <v>1.9055898042207857</v>
      </c>
      <c r="AJ21" s="7">
        <v>5.4254200000000002E-2</v>
      </c>
      <c r="AK21" s="7">
        <v>3.4729900000000001E-2</v>
      </c>
      <c r="AL21" s="7">
        <f t="shared" si="23"/>
        <v>1.21507E-2</v>
      </c>
      <c r="AM21" s="7">
        <f t="shared" si="15"/>
        <v>4.2199259592999999E-3</v>
      </c>
      <c r="AN21" s="7">
        <f t="shared" si="16"/>
        <v>50.466840543611688</v>
      </c>
      <c r="AO21" s="7">
        <f t="shared" si="17"/>
        <v>0.46668379140785415</v>
      </c>
    </row>
    <row r="22" spans="1:41" x14ac:dyDescent="0.25">
      <c r="A22" s="7">
        <v>5.7507299999999999E-3</v>
      </c>
      <c r="B22" s="7">
        <v>0.61687999999999998</v>
      </c>
      <c r="C22" s="7">
        <f t="shared" si="18"/>
        <v>9.223499999999954E-5</v>
      </c>
      <c r="D22" s="7">
        <f t="shared" si="0"/>
        <v>5.6897926799999714E-4</v>
      </c>
      <c r="E22" s="7">
        <f t="shared" si="1"/>
        <v>5713.8506800582363</v>
      </c>
      <c r="F22" s="7">
        <f t="shared" si="2"/>
        <v>0.59364213030345425</v>
      </c>
      <c r="H22" s="7">
        <v>5.27825E-3</v>
      </c>
      <c r="I22" s="7">
        <v>0.72092900000000004</v>
      </c>
      <c r="J22" s="7">
        <f t="shared" si="19"/>
        <v>8.7349999999999928E-5</v>
      </c>
      <c r="K22" s="7">
        <f t="shared" si="3"/>
        <v>6.297314814999995E-4</v>
      </c>
      <c r="L22" s="7">
        <f t="shared" si="4"/>
        <v>8178.7496295475421</v>
      </c>
      <c r="M22" s="7">
        <f t="shared" si="5"/>
        <v>0.71584121422820002</v>
      </c>
      <c r="O22" s="7">
        <v>2.2352899999999998E-2</v>
      </c>
      <c r="P22" s="7">
        <v>0.162492</v>
      </c>
      <c r="Q22" s="7">
        <f t="shared" si="20"/>
        <v>7.6919999999999766E-4</v>
      </c>
      <c r="R22" s="7">
        <f t="shared" si="6"/>
        <v>1.2498884639999964E-3</v>
      </c>
      <c r="S22" s="7">
        <f t="shared" si="7"/>
        <v>213.73271952135329</v>
      </c>
      <c r="T22" s="7">
        <f t="shared" si="8"/>
        <v>0.33549699519972709</v>
      </c>
      <c r="V22" s="7">
        <v>1.85775E-2</v>
      </c>
      <c r="W22" s="7">
        <v>7.9117000000000007E-2</v>
      </c>
      <c r="X22" s="7">
        <f t="shared" si="21"/>
        <v>3.2333499999999994E-3</v>
      </c>
      <c r="Y22" s="7">
        <f t="shared" si="9"/>
        <v>2.5581295194999996E-3</v>
      </c>
      <c r="Z22" s="7">
        <f t="shared" si="10"/>
        <v>762.01250261335031</v>
      </c>
      <c r="AA22" s="7">
        <f t="shared" si="11"/>
        <v>0.8262025093257972</v>
      </c>
      <c r="AC22" s="7">
        <v>3.3151199999999999E-2</v>
      </c>
      <c r="AD22" s="7">
        <v>0.75461900000000004</v>
      </c>
      <c r="AE22" s="7">
        <f t="shared" si="22"/>
        <v>1.5483000000000025E-3</v>
      </c>
      <c r="AF22" s="7">
        <f t="shared" si="12"/>
        <v>1.168376597700002E-2</v>
      </c>
      <c r="AG22" s="7">
        <f t="shared" si="13"/>
        <v>612.47232094033893</v>
      </c>
      <c r="AH22" s="7">
        <f t="shared" si="14"/>
        <v>2.1146322263447512</v>
      </c>
      <c r="AJ22" s="7">
        <v>6.5395200000000001E-2</v>
      </c>
      <c r="AK22" s="7">
        <v>1.8922600000000001E-2</v>
      </c>
      <c r="AL22" s="7">
        <f t="shared" si="23"/>
        <v>1.3175300000000008E-2</v>
      </c>
      <c r="AM22" s="7">
        <f t="shared" si="15"/>
        <v>2.4931093178000015E-3</v>
      </c>
      <c r="AN22" s="7">
        <f t="shared" si="16"/>
        <v>17.025704150930586</v>
      </c>
      <c r="AO22" s="7">
        <f t="shared" si="17"/>
        <v>0.22874241392028788</v>
      </c>
    </row>
    <row r="23" spans="1:41" x14ac:dyDescent="0.25">
      <c r="A23" s="7">
        <v>5.8248600000000003E-3</v>
      </c>
      <c r="B23" s="7">
        <v>0.69209100000000001</v>
      </c>
      <c r="C23" s="7">
        <f t="shared" si="18"/>
        <v>6.5090000000000287E-5</v>
      </c>
      <c r="D23" s="7">
        <f t="shared" si="0"/>
        <v>4.50482031900002E-4</v>
      </c>
      <c r="E23" s="7">
        <f t="shared" si="1"/>
        <v>4353.3378833189981</v>
      </c>
      <c r="F23" s="7">
        <f t="shared" si="2"/>
        <v>0.46402697942955057</v>
      </c>
      <c r="H23" s="7">
        <v>5.3752899999999996E-3</v>
      </c>
      <c r="I23" s="7">
        <v>0.79959800000000003</v>
      </c>
      <c r="J23" s="7">
        <f t="shared" si="19"/>
        <v>8.7254999999999625E-5</v>
      </c>
      <c r="K23" s="7">
        <f t="shared" si="3"/>
        <v>6.9768923489999706E-4</v>
      </c>
      <c r="L23" s="7">
        <f t="shared" si="4"/>
        <v>8579.4154915721629</v>
      </c>
      <c r="M23" s="7">
        <f t="shared" si="5"/>
        <v>0.77877387255384967</v>
      </c>
      <c r="O23" s="7">
        <v>2.3438899999999999E-2</v>
      </c>
      <c r="P23" s="7">
        <v>0.19326299999999999</v>
      </c>
      <c r="Q23" s="7">
        <f t="shared" si="20"/>
        <v>1.0860000000000036E-3</v>
      </c>
      <c r="R23" s="7">
        <f t="shared" si="6"/>
        <v>2.0988361800000068E-3</v>
      </c>
      <c r="S23" s="7">
        <f t="shared" si="7"/>
        <v>311.29220177092617</v>
      </c>
      <c r="T23" s="7">
        <f t="shared" si="8"/>
        <v>0.5372699691538444</v>
      </c>
      <c r="V23" s="7">
        <v>2.2316300000000001E-2</v>
      </c>
      <c r="W23" s="7">
        <v>6.5703800000000007E-2</v>
      </c>
      <c r="X23" s="7">
        <f t="shared" si="21"/>
        <v>3.5368999999999991E-3</v>
      </c>
      <c r="Y23" s="7">
        <f t="shared" si="9"/>
        <v>2.3238777021999998E-3</v>
      </c>
      <c r="Z23" s="7">
        <f t="shared" si="10"/>
        <v>399.34483654144367</v>
      </c>
      <c r="AA23" s="7">
        <f t="shared" si="11"/>
        <v>0.62480188083149979</v>
      </c>
      <c r="AC23" s="7">
        <v>3.5337E-2</v>
      </c>
      <c r="AD23" s="7">
        <v>0.81581099999999995</v>
      </c>
      <c r="AE23" s="7">
        <f t="shared" si="22"/>
        <v>3.0965500000000035E-3</v>
      </c>
      <c r="AF23" s="7">
        <f t="shared" si="12"/>
        <v>2.5261995520500027E-2</v>
      </c>
      <c r="AG23" s="7">
        <f t="shared" si="13"/>
        <v>1093.4023475081108</v>
      </c>
      <c r="AH23" s="7">
        <f t="shared" si="14"/>
        <v>4.2893277053230383</v>
      </c>
      <c r="AJ23" s="7">
        <v>8.0604800000000004E-2</v>
      </c>
      <c r="AK23" s="7">
        <v>2.6044899999999999E-2</v>
      </c>
      <c r="AL23" s="7">
        <f t="shared" si="23"/>
        <v>1.5609149999999988E-2</v>
      </c>
      <c r="AM23" s="7">
        <f t="shared" si="15"/>
        <v>4.0653875083499968E-3</v>
      </c>
      <c r="AN23" s="7">
        <f t="shared" si="16"/>
        <v>14.825884480771728</v>
      </c>
      <c r="AO23" s="7">
        <f t="shared" si="17"/>
        <v>0.3026162840190656</v>
      </c>
    </row>
    <row r="24" spans="1:41" x14ac:dyDescent="0.25">
      <c r="A24" s="7">
        <v>5.8809099999999996E-3</v>
      </c>
      <c r="B24" s="7">
        <v>0.76372300000000004</v>
      </c>
      <c r="C24" s="7">
        <f t="shared" si="18"/>
        <v>1.1921499999999891E-4</v>
      </c>
      <c r="D24" s="7">
        <f t="shared" si="0"/>
        <v>9.1047237444999169E-4</v>
      </c>
      <c r="E24" s="7">
        <f t="shared" si="1"/>
        <v>8549.3786302823592</v>
      </c>
      <c r="F24" s="7">
        <f t="shared" si="2"/>
        <v>0.92890968348435043</v>
      </c>
      <c r="H24" s="7">
        <v>5.4527600000000001E-3</v>
      </c>
      <c r="I24" s="7">
        <v>0.87236999999999998</v>
      </c>
      <c r="J24" s="7">
        <f t="shared" si="19"/>
        <v>1.364550000000006E-4</v>
      </c>
      <c r="K24" s="7">
        <f t="shared" si="3"/>
        <v>1.1903924835000052E-3</v>
      </c>
      <c r="L24" s="7">
        <f t="shared" si="4"/>
        <v>14023.047494768196</v>
      </c>
      <c r="M24" s="7">
        <f t="shared" si="5"/>
        <v>1.3098604928513324</v>
      </c>
      <c r="O24" s="7">
        <v>2.4524899999999999E-2</v>
      </c>
      <c r="P24" s="7">
        <v>0.21346000000000001</v>
      </c>
      <c r="Q24" s="7">
        <f t="shared" si="20"/>
        <v>1.04075E-3</v>
      </c>
      <c r="R24" s="7">
        <f t="shared" si="6"/>
        <v>2.2215849500000001E-3</v>
      </c>
      <c r="S24" s="7">
        <f t="shared" si="7"/>
        <v>287.63555363365469</v>
      </c>
      <c r="T24" s="7">
        <f t="shared" si="8"/>
        <v>0.54350923755040814</v>
      </c>
      <c r="V24" s="7">
        <v>2.5651299999999998E-2</v>
      </c>
      <c r="W24" s="7">
        <v>4.8981700000000003E-2</v>
      </c>
      <c r="X24" s="7">
        <f t="shared" si="21"/>
        <v>2.9812999999999992E-3</v>
      </c>
      <c r="Y24" s="7">
        <f t="shared" si="9"/>
        <v>1.4602914221E-3</v>
      </c>
      <c r="Z24" s="7">
        <f t="shared" si="10"/>
        <v>165.23908143560323</v>
      </c>
      <c r="AA24" s="7">
        <f t="shared" si="11"/>
        <v>0.34157132514141586</v>
      </c>
      <c r="AC24" s="7">
        <v>3.9344299999999999E-2</v>
      </c>
      <c r="AD24" s="7">
        <v>0.89155499999999999</v>
      </c>
      <c r="AE24" s="7">
        <f t="shared" si="22"/>
        <v>3.0054499999999928E-3</v>
      </c>
      <c r="AF24" s="7">
        <f t="shared" si="12"/>
        <v>2.6795239747499932E-2</v>
      </c>
      <c r="AG24" s="7">
        <f t="shared" si="13"/>
        <v>840.25974160343935</v>
      </c>
      <c r="AH24" s="7">
        <f t="shared" si="14"/>
        <v>4.0862701454848507</v>
      </c>
      <c r="AJ24" s="7">
        <v>9.6613500000000005E-2</v>
      </c>
      <c r="AK24" s="7">
        <v>1.3687599999999999E-2</v>
      </c>
      <c r="AL24" s="7">
        <f t="shared" si="23"/>
        <v>1.3278600000000002E-2</v>
      </c>
      <c r="AM24" s="7">
        <f t="shared" si="15"/>
        <v>1.8175216536E-3</v>
      </c>
      <c r="AN24" s="7">
        <f t="shared" si="16"/>
        <v>3.8491738337059127</v>
      </c>
      <c r="AO24" s="7">
        <f t="shared" si="17"/>
        <v>0.11287376941731746</v>
      </c>
    </row>
    <row r="25" spans="1:41" x14ac:dyDescent="0.25">
      <c r="A25" s="7">
        <v>6.0632899999999998E-3</v>
      </c>
      <c r="B25" s="7">
        <v>0.85324199999999994</v>
      </c>
      <c r="C25" s="7">
        <f t="shared" si="18"/>
        <v>1.7320500000000093E-4</v>
      </c>
      <c r="D25" s="7">
        <f t="shared" si="0"/>
        <v>1.4778578061000079E-3</v>
      </c>
      <c r="E25" s="7">
        <f t="shared" si="1"/>
        <v>12662.195249678345</v>
      </c>
      <c r="F25" s="7">
        <f t="shared" si="2"/>
        <v>1.4624315902092835</v>
      </c>
      <c r="H25" s="7">
        <v>5.6481999999999999E-3</v>
      </c>
      <c r="I25" s="7">
        <v>0.94708599999999998</v>
      </c>
      <c r="J25" s="7">
        <f t="shared" si="19"/>
        <v>1.3639000000000012E-4</v>
      </c>
      <c r="K25" s="7">
        <f t="shared" si="3"/>
        <v>1.2917305954000011E-3</v>
      </c>
      <c r="L25" s="7">
        <f t="shared" si="4"/>
        <v>13691.2507508792</v>
      </c>
      <c r="M25" s="7">
        <f t="shared" si="5"/>
        <v>1.3721864615983863</v>
      </c>
      <c r="O25" s="7">
        <v>2.5520399999999999E-2</v>
      </c>
      <c r="P25" s="7">
        <v>0.22661400000000001</v>
      </c>
      <c r="Q25" s="7">
        <f t="shared" si="20"/>
        <v>9.5019999999999827E-4</v>
      </c>
      <c r="R25" s="7">
        <f t="shared" si="6"/>
        <v>2.1532862279999964E-3</v>
      </c>
      <c r="S25" s="7">
        <f t="shared" si="7"/>
        <v>247.42336499642551</v>
      </c>
      <c r="T25" s="7">
        <f t="shared" si="8"/>
        <v>0.50625058259274858</v>
      </c>
      <c r="V25" s="7">
        <v>2.8278899999999999E-2</v>
      </c>
      <c r="W25" s="7">
        <v>3.5605299999999999E-2</v>
      </c>
      <c r="X25" s="7">
        <f t="shared" si="21"/>
        <v>3.6875499999999978E-3</v>
      </c>
      <c r="Y25" s="7">
        <f t="shared" si="9"/>
        <v>1.3129632401499994E-3</v>
      </c>
      <c r="Z25" s="7">
        <f t="shared" si="10"/>
        <v>110.88336785546892</v>
      </c>
      <c r="AA25" s="7">
        <f t="shared" si="11"/>
        <v>0.27857446509234784</v>
      </c>
      <c r="AC25" s="7">
        <v>4.13479E-2</v>
      </c>
      <c r="AD25" s="7">
        <v>1.0052300000000001</v>
      </c>
      <c r="AE25" s="7">
        <f t="shared" si="22"/>
        <v>2.1857500000000002E-3</v>
      </c>
      <c r="AF25" s="7">
        <f t="shared" si="12"/>
        <v>2.1971814725000004E-2</v>
      </c>
      <c r="AG25" s="7">
        <f t="shared" si="13"/>
        <v>593.61782607071234</v>
      </c>
      <c r="AH25" s="7">
        <f t="shared" si="14"/>
        <v>3.1883333458289305</v>
      </c>
      <c r="AJ25" s="7">
        <v>0.10716199999999999</v>
      </c>
      <c r="AK25" s="7">
        <v>2.3872500000000001E-2</v>
      </c>
      <c r="AL25" s="7">
        <f t="shared" si="23"/>
        <v>8.9287499999999992E-3</v>
      </c>
      <c r="AM25" s="7">
        <f t="shared" si="15"/>
        <v>2.1315158437499996E-3</v>
      </c>
      <c r="AN25" s="7">
        <f t="shared" si="16"/>
        <v>3.3080153159910832</v>
      </c>
      <c r="AO25" s="7">
        <f t="shared" si="17"/>
        <v>0.11934356453313676</v>
      </c>
    </row>
    <row r="26" spans="1:41" x14ac:dyDescent="0.25">
      <c r="A26" s="7">
        <v>6.2273199999999997E-3</v>
      </c>
      <c r="B26" s="7">
        <v>0.93022800000000005</v>
      </c>
      <c r="C26" s="7">
        <f t="shared" si="18"/>
        <v>1.0089500000000015E-4</v>
      </c>
      <c r="D26" s="7">
        <f t="shared" si="0"/>
        <v>9.3855354060000146E-4</v>
      </c>
      <c r="E26" s="7">
        <f t="shared" si="1"/>
        <v>7422.6140713226678</v>
      </c>
      <c r="F26" s="7">
        <f t="shared" si="2"/>
        <v>0.90429289704078297</v>
      </c>
      <c r="H26" s="7">
        <v>5.7255400000000003E-3</v>
      </c>
      <c r="I26" s="7">
        <v>1.02773</v>
      </c>
      <c r="J26" s="7">
        <f t="shared" si="19"/>
        <v>3.8170000000000565E-5</v>
      </c>
      <c r="K26" s="7">
        <f t="shared" si="3"/>
        <v>3.9228454100000582E-4</v>
      </c>
      <c r="L26" s="7">
        <f t="shared" si="4"/>
        <v>3991.6569697757081</v>
      </c>
      <c r="M26" s="7">
        <f t="shared" si="5"/>
        <v>0.41108912801238567</v>
      </c>
      <c r="O26" s="7">
        <v>2.6425299999999999E-2</v>
      </c>
      <c r="P26" s="7">
        <v>0.25034699999999999</v>
      </c>
      <c r="Q26" s="7">
        <f t="shared" si="20"/>
        <v>8.5970000000000144E-4</v>
      </c>
      <c r="R26" s="7">
        <f t="shared" si="6"/>
        <v>2.1522331590000036E-3</v>
      </c>
      <c r="S26" s="7">
        <f t="shared" si="7"/>
        <v>222.75677236021792</v>
      </c>
      <c r="T26" s="7">
        <f t="shared" si="8"/>
        <v>0.48867558566979458</v>
      </c>
      <c r="V26" s="7">
        <v>3.3026399999999997E-2</v>
      </c>
      <c r="W26" s="7">
        <v>3.5447600000000003E-2</v>
      </c>
      <c r="X26" s="7">
        <f t="shared" si="21"/>
        <v>4.3949500000000016E-3</v>
      </c>
      <c r="Y26" s="7">
        <f t="shared" si="9"/>
        <v>1.5579042962000009E-3</v>
      </c>
      <c r="Z26" s="7">
        <f t="shared" si="10"/>
        <v>82.595891092838613</v>
      </c>
      <c r="AA26" s="7">
        <f t="shared" si="11"/>
        <v>0.28302890345905118</v>
      </c>
      <c r="AC26" s="7">
        <v>4.3715799999999999E-2</v>
      </c>
      <c r="AD26" s="7">
        <v>1.0897399999999999</v>
      </c>
      <c r="AE26" s="7">
        <f t="shared" si="22"/>
        <v>1.8215000000000037E-3</v>
      </c>
      <c r="AF26" s="7">
        <f t="shared" si="12"/>
        <v>1.9849614100000038E-2</v>
      </c>
      <c r="AG26" s="7">
        <f t="shared" si="13"/>
        <v>453.77248089375092</v>
      </c>
      <c r="AH26" s="7">
        <f t="shared" si="14"/>
        <v>2.724362463914654</v>
      </c>
      <c r="AJ26" s="7">
        <v>0.114471</v>
      </c>
      <c r="AK26" s="7">
        <v>4.0429699999999999E-2</v>
      </c>
      <c r="AL26" s="7">
        <f t="shared" si="23"/>
        <v>5.0845000000000057E-3</v>
      </c>
      <c r="AM26" s="7">
        <f t="shared" si="15"/>
        <v>2.0556480965000022E-3</v>
      </c>
      <c r="AN26" s="7">
        <f t="shared" si="16"/>
        <v>2.6173615479035752</v>
      </c>
      <c r="AO26" s="7">
        <f t="shared" si="17"/>
        <v>0.10774684050108774</v>
      </c>
    </row>
    <row r="27" spans="1:41" x14ac:dyDescent="0.25">
      <c r="A27" s="7">
        <v>6.2650800000000001E-3</v>
      </c>
      <c r="B27" s="7">
        <v>0.99111700000000003</v>
      </c>
      <c r="C27" s="7">
        <f t="shared" si="18"/>
        <v>7.3890000000000067E-5</v>
      </c>
      <c r="D27" s="7">
        <f t="shared" si="0"/>
        <v>7.3233635130000069E-4</v>
      </c>
      <c r="E27" s="7">
        <f t="shared" si="1"/>
        <v>5687.6400904132461</v>
      </c>
      <c r="F27" s="7">
        <f t="shared" si="2"/>
        <v>0.70135067833132292</v>
      </c>
      <c r="H27" s="7">
        <v>5.7245400000000002E-3</v>
      </c>
      <c r="I27" s="7">
        <v>1.0887100000000001</v>
      </c>
      <c r="J27" s="7">
        <f t="shared" si="19"/>
        <v>9.7374999999999372E-5</v>
      </c>
      <c r="K27" s="7">
        <f t="shared" si="3"/>
        <v>1.0601313624999933E-3</v>
      </c>
      <c r="L27" s="7">
        <f t="shared" si="4"/>
        <v>10792.927938062832</v>
      </c>
      <c r="M27" s="7">
        <f t="shared" si="5"/>
        <v>1.1111439827479519</v>
      </c>
      <c r="O27" s="7">
        <v>2.7239800000000002E-2</v>
      </c>
      <c r="P27" s="7">
        <v>0.273204</v>
      </c>
      <c r="Q27" s="7">
        <f t="shared" si="20"/>
        <v>5.8825000000000197E-4</v>
      </c>
      <c r="R27" s="7">
        <f t="shared" si="6"/>
        <v>1.6071225300000054E-3</v>
      </c>
      <c r="S27" s="7">
        <f t="shared" si="7"/>
        <v>151.85833133225</v>
      </c>
      <c r="T27" s="7">
        <f t="shared" si="8"/>
        <v>0.353994345773465</v>
      </c>
      <c r="V27" s="7">
        <v>3.7068799999999999E-2</v>
      </c>
      <c r="W27" s="7">
        <v>1.5379800000000001E-2</v>
      </c>
      <c r="X27" s="7">
        <f t="shared" si="21"/>
        <v>4.546950000000001E-3</v>
      </c>
      <c r="Y27" s="7">
        <f t="shared" si="9"/>
        <v>6.9931181610000017E-4</v>
      </c>
      <c r="Z27" s="7">
        <f t="shared" si="10"/>
        <v>26.220843754430408</v>
      </c>
      <c r="AA27" s="7">
        <f t="shared" si="11"/>
        <v>0.11319144122820272</v>
      </c>
      <c r="AC27" s="7">
        <v>4.49909E-2</v>
      </c>
      <c r="AD27" s="7">
        <v>1.19468</v>
      </c>
      <c r="AE27" s="7">
        <f t="shared" si="22"/>
        <v>1.7304500000000014E-3</v>
      </c>
      <c r="AF27" s="7">
        <f t="shared" si="12"/>
        <v>2.0673340060000017E-2</v>
      </c>
      <c r="AG27" s="7">
        <f t="shared" si="13"/>
        <v>433.54879499606909</v>
      </c>
      <c r="AH27" s="7">
        <f t="shared" si="14"/>
        <v>2.7570028685800931</v>
      </c>
      <c r="AJ27" s="7">
        <v>0.117331</v>
      </c>
      <c r="AK27" s="7">
        <v>7.6318300000000006E-2</v>
      </c>
      <c r="AL27" s="7">
        <f t="shared" si="23"/>
        <v>3.2514999999999905E-3</v>
      </c>
      <c r="AM27" s="7">
        <f t="shared" si="15"/>
        <v>2.4814895244999928E-3</v>
      </c>
      <c r="AN27" s="7">
        <f t="shared" si="16"/>
        <v>2.934104027148889</v>
      </c>
      <c r="AO27" s="7">
        <f t="shared" si="17"/>
        <v>0.12689687420204343</v>
      </c>
    </row>
    <row r="28" spans="1:41" x14ac:dyDescent="0.25">
      <c r="A28" s="7">
        <v>6.3750999999999999E-3</v>
      </c>
      <c r="B28" s="7">
        <v>1.06453</v>
      </c>
      <c r="C28" s="7">
        <f t="shared" si="18"/>
        <v>1.5461999999999941E-4</v>
      </c>
      <c r="D28" s="7">
        <f t="shared" si="0"/>
        <v>1.6459762859999936E-3</v>
      </c>
      <c r="E28" s="7">
        <f t="shared" si="1"/>
        <v>12132.881252566567</v>
      </c>
      <c r="F28" s="7">
        <f t="shared" si="2"/>
        <v>1.5491298514533047</v>
      </c>
      <c r="H28" s="7">
        <v>5.9202899999999999E-3</v>
      </c>
      <c r="I28" s="7">
        <v>1.14375</v>
      </c>
      <c r="J28" s="7">
        <f t="shared" si="19"/>
        <v>2.2557499999999956E-4</v>
      </c>
      <c r="K28" s="7">
        <f t="shared" si="3"/>
        <v>2.580014062499995E-3</v>
      </c>
      <c r="L28" s="7">
        <f t="shared" si="4"/>
        <v>23746.221172923179</v>
      </c>
      <c r="M28" s="7">
        <f t="shared" si="5"/>
        <v>2.6147510299326506</v>
      </c>
      <c r="O28" s="7">
        <v>2.7601799999999999E-2</v>
      </c>
      <c r="P28" s="7">
        <v>0.302257</v>
      </c>
      <c r="Q28" s="7">
        <f t="shared" si="20"/>
        <v>3.6199999999999774E-4</v>
      </c>
      <c r="R28" s="7">
        <f t="shared" si="6"/>
        <v>1.0941703399999932E-3</v>
      </c>
      <c r="S28" s="7">
        <f t="shared" si="7"/>
        <v>99.374304389678898</v>
      </c>
      <c r="T28" s="7">
        <f t="shared" si="8"/>
        <v>0.23784760559093826</v>
      </c>
      <c r="V28" s="7">
        <v>4.2120299999999999E-2</v>
      </c>
      <c r="W28" s="7">
        <v>5.2451599999999996E-3</v>
      </c>
      <c r="X28" s="7">
        <f t="shared" si="21"/>
        <v>5.6064000000000044E-3</v>
      </c>
      <c r="Y28" s="7">
        <f t="shared" si="9"/>
        <v>2.9406465024000021E-4</v>
      </c>
      <c r="Z28" s="7">
        <f t="shared" si="10"/>
        <v>7.5157068329161856</v>
      </c>
      <c r="AA28" s="7">
        <f t="shared" si="11"/>
        <v>4.1889252959736792E-2</v>
      </c>
      <c r="AC28" s="7">
        <v>4.7176700000000002E-2</v>
      </c>
      <c r="AD28" s="7">
        <v>1.2966899999999999</v>
      </c>
      <c r="AE28" s="7">
        <f t="shared" si="22"/>
        <v>1.7304E-3</v>
      </c>
      <c r="AF28" s="7">
        <f t="shared" si="12"/>
        <v>2.2437923759999999E-2</v>
      </c>
      <c r="AG28" s="7">
        <f t="shared" si="13"/>
        <v>408.13267841266025</v>
      </c>
      <c r="AH28" s="7">
        <f t="shared" si="14"/>
        <v>2.8536871498006429</v>
      </c>
      <c r="AJ28" s="7">
        <v>0.120974</v>
      </c>
      <c r="AK28" s="7">
        <v>6.67103E-2</v>
      </c>
      <c r="AL28" s="7">
        <f t="shared" si="23"/>
        <v>3.155000000000005E-3</v>
      </c>
      <c r="AM28" s="7">
        <f t="shared" si="15"/>
        <v>2.1047099650000033E-3</v>
      </c>
      <c r="AN28" s="7">
        <f t="shared" si="16"/>
        <v>2.2704791209340072</v>
      </c>
      <c r="AO28" s="7">
        <f t="shared" si="17"/>
        <v>0.10438821391373369</v>
      </c>
    </row>
    <row r="29" spans="1:41" x14ac:dyDescent="0.25">
      <c r="A29" s="7">
        <v>6.5743199999999998E-3</v>
      </c>
      <c r="B29" s="7">
        <v>1.11643</v>
      </c>
      <c r="C29" s="7">
        <f t="shared" si="18"/>
        <v>2.2565999999999992E-4</v>
      </c>
      <c r="D29" s="7">
        <f t="shared" si="0"/>
        <v>2.519335937999999E-3</v>
      </c>
      <c r="E29" s="7">
        <f t="shared" si="1"/>
        <v>16933.040297559226</v>
      </c>
      <c r="F29" s="7">
        <f t="shared" si="2"/>
        <v>2.2992515770452298</v>
      </c>
      <c r="H29" s="7">
        <v>6.1756900000000002E-3</v>
      </c>
      <c r="I29" s="7">
        <v>1.15944</v>
      </c>
      <c r="J29" s="7">
        <f t="shared" si="19"/>
        <v>2.4614500000000056E-4</v>
      </c>
      <c r="K29" s="7">
        <f t="shared" si="3"/>
        <v>2.8539035880000068E-3</v>
      </c>
      <c r="L29" s="7">
        <f t="shared" si="4"/>
        <v>23141.11135372466</v>
      </c>
      <c r="M29" s="7">
        <f t="shared" si="5"/>
        <v>2.7727139037095516</v>
      </c>
      <c r="O29" s="7">
        <v>2.79638E-2</v>
      </c>
      <c r="P29" s="7">
        <v>0.33130900000000002</v>
      </c>
      <c r="Q29" s="7">
        <f t="shared" si="20"/>
        <v>4.9775000000000166E-4</v>
      </c>
      <c r="R29" s="7">
        <f t="shared" si="6"/>
        <v>1.6490905475000056E-3</v>
      </c>
      <c r="S29" s="7">
        <f t="shared" si="7"/>
        <v>144.03144506588305</v>
      </c>
      <c r="T29" s="7">
        <f t="shared" si="8"/>
        <v>0.35383400271064852</v>
      </c>
      <c r="V29" s="7">
        <v>4.8281600000000001E-2</v>
      </c>
      <c r="W29" s="7">
        <v>8.3627200000000006E-3</v>
      </c>
      <c r="X29" s="7">
        <f t="shared" si="21"/>
        <v>6.2623499999999999E-3</v>
      </c>
      <c r="Y29" s="7">
        <f t="shared" si="9"/>
        <v>5.2370279592000007E-4</v>
      </c>
      <c r="Z29" s="7">
        <f t="shared" si="10"/>
        <v>8.8867161587921935</v>
      </c>
      <c r="AA29" s="7">
        <f t="shared" si="11"/>
        <v>6.5081040717788988E-2</v>
      </c>
      <c r="AC29" s="7">
        <v>4.84517E-2</v>
      </c>
      <c r="AD29" s="7">
        <v>1.3899600000000001</v>
      </c>
      <c r="AE29" s="7">
        <f t="shared" si="22"/>
        <v>1.7304E-3</v>
      </c>
      <c r="AF29" s="7">
        <f t="shared" si="12"/>
        <v>2.4051867840000001E-2</v>
      </c>
      <c r="AG29" s="7">
        <f t="shared" si="13"/>
        <v>403.85282757938757</v>
      </c>
      <c r="AH29" s="7">
        <f t="shared" si="14"/>
        <v>2.978454977637524</v>
      </c>
      <c r="AJ29" s="7">
        <v>0.123641</v>
      </c>
      <c r="AK29" s="7">
        <v>0.118851</v>
      </c>
      <c r="AL29" s="7">
        <f t="shared" si="23"/>
        <v>3.2844999999999819E-3</v>
      </c>
      <c r="AM29" s="7">
        <f t="shared" si="15"/>
        <v>3.9036610949999785E-3</v>
      </c>
      <c r="AN29" s="7">
        <f t="shared" si="16"/>
        <v>3.9444454763593839</v>
      </c>
      <c r="AO29" s="7">
        <f t="shared" si="17"/>
        <v>0.18943527284638484</v>
      </c>
    </row>
    <row r="30" spans="1:41" x14ac:dyDescent="0.25">
      <c r="A30" s="7">
        <v>6.8264199999999997E-3</v>
      </c>
      <c r="B30" s="7">
        <v>1.1343000000000001</v>
      </c>
      <c r="C30" s="7">
        <f t="shared" si="18"/>
        <v>2.7838999999999989E-4</v>
      </c>
      <c r="D30" s="7">
        <f t="shared" si="0"/>
        <v>3.1577777699999987E-3</v>
      </c>
      <c r="E30" s="7">
        <f t="shared" si="1"/>
        <v>18958.497940038596</v>
      </c>
      <c r="F30" s="7">
        <f t="shared" si="2"/>
        <v>2.7754909044565079</v>
      </c>
      <c r="H30" s="7">
        <v>6.4125800000000002E-3</v>
      </c>
      <c r="I30" s="7">
        <v>1.1043099999999999</v>
      </c>
      <c r="J30" s="7">
        <f t="shared" si="19"/>
        <v>1.8807999999999932E-4</v>
      </c>
      <c r="K30" s="7">
        <f t="shared" si="3"/>
        <v>2.0769862479999924E-3</v>
      </c>
      <c r="L30" s="7">
        <f t="shared" si="4"/>
        <v>15043.074632588714</v>
      </c>
      <c r="M30" s="7">
        <f t="shared" si="5"/>
        <v>1.9433547009160046</v>
      </c>
      <c r="O30" s="7">
        <v>2.8597299999999999E-2</v>
      </c>
      <c r="P30" s="7">
        <v>0.35593999999999998</v>
      </c>
      <c r="Q30" s="7">
        <f t="shared" si="20"/>
        <v>7.2399999999999548E-4</v>
      </c>
      <c r="R30" s="7">
        <f t="shared" si="6"/>
        <v>2.577005599999984E-3</v>
      </c>
      <c r="S30" s="7">
        <f t="shared" si="7"/>
        <v>210.44647026516964</v>
      </c>
      <c r="T30" s="7">
        <f t="shared" si="8"/>
        <v>0.540681588821319</v>
      </c>
      <c r="V30" s="7">
        <v>5.4644999999999999E-2</v>
      </c>
      <c r="W30" s="7">
        <v>1.14736E-2</v>
      </c>
      <c r="X30" s="7">
        <f t="shared" si="21"/>
        <v>6.514549999999994E-3</v>
      </c>
      <c r="Y30" s="7">
        <f t="shared" si="9"/>
        <v>7.4745340879999931E-4</v>
      </c>
      <c r="Z30" s="7">
        <f t="shared" si="10"/>
        <v>8.7485124388893034</v>
      </c>
      <c r="AA30" s="7">
        <f t="shared" si="11"/>
        <v>8.2070097040900278E-2</v>
      </c>
      <c r="AC30" s="7">
        <v>5.0637500000000002E-2</v>
      </c>
      <c r="AD30" s="7">
        <v>1.3112200000000001</v>
      </c>
      <c r="AE30" s="7">
        <f t="shared" si="22"/>
        <v>2.0036500000000027E-3</v>
      </c>
      <c r="AF30" s="7">
        <f t="shared" si="12"/>
        <v>2.6272259530000036E-2</v>
      </c>
      <c r="AG30" s="7">
        <f t="shared" si="13"/>
        <v>386.43996557066038</v>
      </c>
      <c r="AH30" s="7">
        <f t="shared" si="14"/>
        <v>3.1129806404344653</v>
      </c>
      <c r="AJ30" s="7">
        <v>0.12754299999999999</v>
      </c>
      <c r="AK30" s="7">
        <v>0.20031099999999999</v>
      </c>
      <c r="AL30" s="7">
        <f t="shared" si="23"/>
        <v>3.3750000000000169E-3</v>
      </c>
      <c r="AM30" s="7">
        <f t="shared" si="15"/>
        <v>6.7604962500000332E-3</v>
      </c>
      <c r="AN30" s="7">
        <f t="shared" si="16"/>
        <v>6.2231471442715645</v>
      </c>
      <c r="AO30" s="7">
        <f t="shared" si="17"/>
        <v>0.31803374156167102</v>
      </c>
    </row>
    <row r="31" spans="1:41" x14ac:dyDescent="0.25">
      <c r="A31" s="7">
        <v>7.1310999999999996E-3</v>
      </c>
      <c r="B31" s="7">
        <v>1.10738</v>
      </c>
      <c r="C31" s="7">
        <f t="shared" si="18"/>
        <v>2.0525500000000054E-4</v>
      </c>
      <c r="D31" s="7">
        <f t="shared" si="0"/>
        <v>2.2729528190000058E-3</v>
      </c>
      <c r="E31" s="7">
        <f t="shared" si="1"/>
        <v>11970.773641518805</v>
      </c>
      <c r="F31" s="7">
        <f t="shared" si="2"/>
        <v>1.9124282248180555</v>
      </c>
      <c r="H31" s="7">
        <v>6.5518499999999997E-3</v>
      </c>
      <c r="I31" s="7">
        <v>1.0059199999999999</v>
      </c>
      <c r="J31" s="7">
        <f t="shared" si="19"/>
        <v>1.8840500000000086E-4</v>
      </c>
      <c r="K31" s="7">
        <f t="shared" si="3"/>
        <v>1.8952035760000086E-3</v>
      </c>
      <c r="L31" s="7">
        <f t="shared" si="4"/>
        <v>12869.610610373991</v>
      </c>
      <c r="M31" s="7">
        <f t="shared" si="5"/>
        <v>1.7355741440967136</v>
      </c>
      <c r="O31" s="7">
        <v>2.9411799999999998E-2</v>
      </c>
      <c r="P31" s="7">
        <v>0.38408399999999998</v>
      </c>
      <c r="Q31" s="7">
        <f t="shared" si="20"/>
        <v>1.040700000000002E-3</v>
      </c>
      <c r="R31" s="7">
        <f t="shared" si="6"/>
        <v>3.9971621880000082E-3</v>
      </c>
      <c r="S31" s="7">
        <f t="shared" si="7"/>
        <v>300.04634155785959</v>
      </c>
      <c r="T31" s="7">
        <f t="shared" si="8"/>
        <v>0.81542010784787244</v>
      </c>
      <c r="V31" s="7">
        <v>6.1310700000000003E-2</v>
      </c>
      <c r="W31" s="7">
        <v>2.1218899999999999E-2</v>
      </c>
      <c r="X31" s="7">
        <f t="shared" si="21"/>
        <v>6.8678500000000087E-3</v>
      </c>
      <c r="Y31" s="7">
        <f t="shared" si="9"/>
        <v>1.4572822236500016E-3</v>
      </c>
      <c r="Z31" s="7">
        <f t="shared" si="10"/>
        <v>12.076364731521641</v>
      </c>
      <c r="AA31" s="7">
        <f t="shared" si="11"/>
        <v>0.14261284477097813</v>
      </c>
      <c r="AC31" s="7">
        <v>5.2458999999999999E-2</v>
      </c>
      <c r="AD31" s="7">
        <v>1.1945699999999999</v>
      </c>
      <c r="AE31" s="7">
        <f t="shared" si="22"/>
        <v>1.7304499999999945E-3</v>
      </c>
      <c r="AF31" s="7">
        <f t="shared" si="12"/>
        <v>2.0671436564999934E-2</v>
      </c>
      <c r="AG31" s="7">
        <f t="shared" si="13"/>
        <v>273.47146297170764</v>
      </c>
      <c r="AH31" s="7">
        <f t="shared" si="14"/>
        <v>2.36429629596446</v>
      </c>
      <c r="AJ31" s="7">
        <v>0.13039100000000001</v>
      </c>
      <c r="AK31" s="7">
        <v>0.21668699999999999</v>
      </c>
      <c r="AL31" s="7">
        <f t="shared" si="23"/>
        <v>2.5215000000000098E-3</v>
      </c>
      <c r="AM31" s="7">
        <f t="shared" si="15"/>
        <v>5.4637627050000206E-3</v>
      </c>
      <c r="AN31" s="7">
        <f t="shared" si="16"/>
        <v>4.7070667707999041</v>
      </c>
      <c r="AO31" s="7">
        <f t="shared" si="17"/>
        <v>0.25141747689641247</v>
      </c>
    </row>
    <row r="32" spans="1:41" x14ac:dyDescent="0.25">
      <c r="A32" s="7">
        <v>7.2369299999999999E-3</v>
      </c>
      <c r="B32" s="7">
        <v>1.0410900000000001</v>
      </c>
      <c r="C32" s="7">
        <f t="shared" si="18"/>
        <v>9.6414999999999869E-5</v>
      </c>
      <c r="D32" s="7">
        <f t="shared" si="0"/>
        <v>1.0037669234999986E-3</v>
      </c>
      <c r="E32" s="7">
        <f t="shared" si="1"/>
        <v>5057.9105276077089</v>
      </c>
      <c r="F32" s="7">
        <f t="shared" si="2"/>
        <v>0.83220392362507212</v>
      </c>
      <c r="H32" s="7">
        <v>6.7893900000000002E-3</v>
      </c>
      <c r="I32" s="7">
        <v>0.91145100000000001</v>
      </c>
      <c r="J32" s="7">
        <f t="shared" si="19"/>
        <v>1.2930999999999967E-4</v>
      </c>
      <c r="K32" s="7">
        <f t="shared" si="3"/>
        <v>1.178597288099997E-3</v>
      </c>
      <c r="L32" s="7">
        <f t="shared" si="4"/>
        <v>7192.4118188531538</v>
      </c>
      <c r="M32" s="7">
        <f t="shared" si="5"/>
        <v>1.0415639296902937</v>
      </c>
      <c r="O32" s="7">
        <v>3.06787E-2</v>
      </c>
      <c r="P32" s="7">
        <v>0.40867500000000001</v>
      </c>
      <c r="Q32" s="7">
        <f t="shared" si="20"/>
        <v>9.9544999999999842E-4</v>
      </c>
      <c r="R32" s="7">
        <f t="shared" si="6"/>
        <v>4.0681552874999929E-3</v>
      </c>
      <c r="S32" s="7">
        <f t="shared" si="7"/>
        <v>269.08410361391168</v>
      </c>
      <c r="T32" s="7">
        <f t="shared" si="8"/>
        <v>0.79563122704025802</v>
      </c>
      <c r="V32" s="7">
        <v>6.8380700000000003E-2</v>
      </c>
      <c r="W32" s="7">
        <v>2.76285E-2</v>
      </c>
      <c r="X32" s="7">
        <f t="shared" si="21"/>
        <v>7.2230499999999948E-3</v>
      </c>
      <c r="Y32" s="7">
        <f t="shared" si="9"/>
        <v>1.9956203692499987E-3</v>
      </c>
      <c r="Z32" s="7">
        <f t="shared" si="10"/>
        <v>11.920066520085891</v>
      </c>
      <c r="AA32" s="7">
        <f t="shared" si="11"/>
        <v>0.17510382630625296</v>
      </c>
      <c r="AC32" s="7">
        <v>5.4098399999999998E-2</v>
      </c>
      <c r="AD32" s="7">
        <v>1.05752</v>
      </c>
      <c r="AE32" s="7">
        <f t="shared" si="22"/>
        <v>9.1075000000000184E-4</v>
      </c>
      <c r="AF32" s="7">
        <f t="shared" si="12"/>
        <v>9.6313634000000196E-3</v>
      </c>
      <c r="AG32" s="7">
        <f t="shared" si="13"/>
        <v>116.18120726831563</v>
      </c>
      <c r="AH32" s="7">
        <f t="shared" si="14"/>
        <v>1.0682049820327426</v>
      </c>
      <c r="AJ32" s="7">
        <v>0.13258600000000001</v>
      </c>
      <c r="AK32" s="7">
        <v>0.15823899999999999</v>
      </c>
      <c r="AL32" s="7">
        <f t="shared" si="23"/>
        <v>2.4004999999999999E-3</v>
      </c>
      <c r="AM32" s="7">
        <f t="shared" si="15"/>
        <v>3.798527195E-3</v>
      </c>
      <c r="AN32" s="7">
        <f t="shared" si="16"/>
        <v>3.1126021428482891</v>
      </c>
      <c r="AO32" s="7">
        <f t="shared" si="17"/>
        <v>0.17189720762373098</v>
      </c>
    </row>
    <row r="33" spans="1:41" x14ac:dyDescent="0.25">
      <c r="A33" s="7">
        <v>7.3239300000000002E-3</v>
      </c>
      <c r="B33" s="7">
        <v>0.94615099999999996</v>
      </c>
      <c r="C33" s="7">
        <f t="shared" si="18"/>
        <v>1.1420000000000007E-4</v>
      </c>
      <c r="D33" s="7">
        <f t="shared" si="0"/>
        <v>1.0805044420000008E-3</v>
      </c>
      <c r="E33" s="7">
        <f t="shared" si="1"/>
        <v>5252.8546040235506</v>
      </c>
      <c r="F33" s="7">
        <f t="shared" si="2"/>
        <v>0.88518413638579363</v>
      </c>
      <c r="H33" s="7">
        <v>6.8104699999999999E-3</v>
      </c>
      <c r="I33" s="7">
        <v>0.82489000000000001</v>
      </c>
      <c r="J33" s="7">
        <f t="shared" si="19"/>
        <v>9.0110000000000016E-5</v>
      </c>
      <c r="K33" s="7">
        <f t="shared" si="3"/>
        <v>7.4330837900000014E-4</v>
      </c>
      <c r="L33" s="7">
        <f t="shared" si="4"/>
        <v>4494.0629712146983</v>
      </c>
      <c r="M33" s="7">
        <f t="shared" si="5"/>
        <v>0.65485205485084019</v>
      </c>
      <c r="O33" s="7">
        <v>3.1402699999999999E-2</v>
      </c>
      <c r="P33" s="7">
        <v>0.42889500000000003</v>
      </c>
      <c r="Q33" s="7">
        <f t="shared" si="20"/>
        <v>9.5025000000000664E-4</v>
      </c>
      <c r="R33" s="7">
        <f t="shared" si="6"/>
        <v>4.0755747375000291E-3</v>
      </c>
      <c r="S33" s="7">
        <f t="shared" si="7"/>
        <v>251.35600693293512</v>
      </c>
      <c r="T33" s="7">
        <f t="shared" si="8"/>
        <v>0.77870528409978057</v>
      </c>
      <c r="V33" s="7">
        <v>7.5756799999999999E-2</v>
      </c>
      <c r="W33" s="7">
        <v>4.12767E-3</v>
      </c>
      <c r="X33" s="7">
        <f t="shared" si="21"/>
        <v>5.8584500000000012E-3</v>
      </c>
      <c r="Y33" s="7">
        <f t="shared" si="9"/>
        <v>2.4181748311500006E-4</v>
      </c>
      <c r="Z33" s="7">
        <f t="shared" si="10"/>
        <v>1.0622438112804817</v>
      </c>
      <c r="AA33" s="7">
        <f t="shared" si="11"/>
        <v>1.9152140780629601E-2</v>
      </c>
      <c r="AC33" s="7">
        <v>5.4280500000000002E-2</v>
      </c>
      <c r="AD33" s="7">
        <v>0.97297</v>
      </c>
      <c r="AE33" s="7">
        <f t="shared" si="22"/>
        <v>1.366100000000002E-3</v>
      </c>
      <c r="AF33" s="7">
        <f t="shared" si="12"/>
        <v>1.3291743170000021E-2</v>
      </c>
      <c r="AG33" s="7">
        <f t="shared" si="13"/>
        <v>158.7273626682337</v>
      </c>
      <c r="AH33" s="7">
        <f t="shared" si="14"/>
        <v>1.4692285262663409</v>
      </c>
      <c r="AJ33" s="7">
        <v>0.13519200000000001</v>
      </c>
      <c r="AK33" s="7">
        <v>0.109565</v>
      </c>
      <c r="AL33" s="7">
        <f t="shared" si="23"/>
        <v>3.2290000000000096E-3</v>
      </c>
      <c r="AM33" s="7">
        <f t="shared" si="15"/>
        <v>3.5378538500000101E-3</v>
      </c>
      <c r="AN33" s="7">
        <f t="shared" si="16"/>
        <v>2.7345652267847869</v>
      </c>
      <c r="AO33" s="7">
        <f t="shared" si="17"/>
        <v>0.15701463917983358</v>
      </c>
    </row>
    <row r="34" spans="1:41" x14ac:dyDescent="0.25">
      <c r="A34" s="7">
        <v>7.4653300000000001E-3</v>
      </c>
      <c r="B34" s="7">
        <v>0.86731999999999998</v>
      </c>
      <c r="C34" s="7">
        <f t="shared" si="18"/>
        <v>1.5045999999999983E-4</v>
      </c>
      <c r="D34" s="7">
        <f t="shared" si="0"/>
        <v>1.3049696719999984E-3</v>
      </c>
      <c r="E34" s="7">
        <f t="shared" si="1"/>
        <v>5990.3854207450186</v>
      </c>
      <c r="F34" s="7">
        <f t="shared" si="2"/>
        <v>1.048824101814654</v>
      </c>
      <c r="H34" s="7">
        <v>6.9696100000000002E-3</v>
      </c>
      <c r="I34" s="7">
        <v>0.71469499999999997</v>
      </c>
      <c r="J34" s="7">
        <f t="shared" si="19"/>
        <v>1.4933500000000044E-4</v>
      </c>
      <c r="K34" s="7">
        <f t="shared" si="3"/>
        <v>1.067289778250003E-3</v>
      </c>
      <c r="L34" s="7">
        <f t="shared" si="4"/>
        <v>6020.8567874752971</v>
      </c>
      <c r="M34" s="7">
        <f t="shared" si="5"/>
        <v>0.91880875249834904</v>
      </c>
      <c r="O34" s="7">
        <v>3.2579200000000003E-2</v>
      </c>
      <c r="P34" s="7">
        <v>0.44203799999999999</v>
      </c>
      <c r="Q34" s="7">
        <f t="shared" si="20"/>
        <v>1.0407499999999931E-3</v>
      </c>
      <c r="R34" s="7">
        <f t="shared" si="6"/>
        <v>4.6005104849999694E-3</v>
      </c>
      <c r="S34" s="7">
        <f t="shared" si="7"/>
        <v>254.08917037758013</v>
      </c>
      <c r="T34" s="7">
        <f t="shared" si="8"/>
        <v>0.847260304427359</v>
      </c>
      <c r="V34" s="7">
        <v>8.0097600000000005E-2</v>
      </c>
      <c r="W34" s="7">
        <v>3.0561499999999998E-2</v>
      </c>
      <c r="X34" s="7">
        <f t="shared" si="21"/>
        <v>3.5320000000000074E-3</v>
      </c>
      <c r="Y34" s="7">
        <f t="shared" si="9"/>
        <v>1.0794321800000021E-3</v>
      </c>
      <c r="Z34" s="7">
        <f t="shared" si="10"/>
        <v>4.0117903448753207</v>
      </c>
      <c r="AA34" s="7">
        <f t="shared" si="11"/>
        <v>8.0858765805717187E-2</v>
      </c>
      <c r="AC34" s="7">
        <v>5.6830600000000002E-2</v>
      </c>
      <c r="AD34" s="7">
        <v>1.08372</v>
      </c>
      <c r="AE34" s="7">
        <f t="shared" si="22"/>
        <v>1.3661500000000035E-3</v>
      </c>
      <c r="AF34" s="7">
        <f t="shared" si="12"/>
        <v>1.4805240780000038E-2</v>
      </c>
      <c r="AG34" s="7">
        <f t="shared" si="13"/>
        <v>154.05298890312977</v>
      </c>
      <c r="AH34" s="7">
        <f t="shared" si="14"/>
        <v>1.5630917970248461</v>
      </c>
      <c r="AJ34" s="7">
        <v>0.139044</v>
      </c>
      <c r="AK34" s="7">
        <v>0.109721</v>
      </c>
      <c r="AL34" s="7">
        <f t="shared" si="23"/>
        <v>2.952499999999969E-3</v>
      </c>
      <c r="AM34" s="7">
        <f t="shared" si="15"/>
        <v>3.2395125249999662E-3</v>
      </c>
      <c r="AN34" s="7">
        <f t="shared" si="16"/>
        <v>2.3015704980886458</v>
      </c>
      <c r="AO34" s="7">
        <f t="shared" si="17"/>
        <v>0.13979082268921922</v>
      </c>
    </row>
    <row r="35" spans="1:41" x14ac:dyDescent="0.25">
      <c r="A35" s="7">
        <v>7.6248499999999999E-3</v>
      </c>
      <c r="B35" s="7">
        <v>0.79385799999999995</v>
      </c>
      <c r="C35" s="7">
        <f t="shared" si="18"/>
        <v>1.2355999999999999E-4</v>
      </c>
      <c r="D35" s="7">
        <f t="shared" si="0"/>
        <v>9.8089094479999984E-4</v>
      </c>
      <c r="E35" s="7">
        <f t="shared" si="1"/>
        <v>4225.9873206831444</v>
      </c>
      <c r="F35" s="7">
        <f t="shared" si="2"/>
        <v>0.77186379650747228</v>
      </c>
      <c r="H35" s="7">
        <v>7.1091399999999999E-3</v>
      </c>
      <c r="I35" s="7">
        <v>0.60056900000000002</v>
      </c>
      <c r="J35" s="7">
        <f t="shared" si="19"/>
        <v>1.7859999999999925E-4</v>
      </c>
      <c r="K35" s="7">
        <f t="shared" si="3"/>
        <v>1.0726162339999956E-3</v>
      </c>
      <c r="L35" s="7">
        <f t="shared" si="4"/>
        <v>5701.5710786688996</v>
      </c>
      <c r="M35" s="7">
        <f t="shared" si="5"/>
        <v>0.90527087720877264</v>
      </c>
      <c r="O35" s="7">
        <v>3.3484199999999999E-2</v>
      </c>
      <c r="P35" s="7">
        <v>0.45872200000000002</v>
      </c>
      <c r="Q35" s="7">
        <f t="shared" si="20"/>
        <v>9.5019999999999827E-4</v>
      </c>
      <c r="R35" s="7">
        <f t="shared" si="6"/>
        <v>4.3587764439999921E-3</v>
      </c>
      <c r="S35" s="7">
        <f t="shared" si="7"/>
        <v>221.74109662209617</v>
      </c>
      <c r="T35" s="7">
        <f t="shared" si="8"/>
        <v>0.78104475137527407</v>
      </c>
      <c r="V35" s="7">
        <v>8.28208E-2</v>
      </c>
      <c r="W35" s="7">
        <v>7.0338200000000003E-2</v>
      </c>
      <c r="X35" s="7">
        <f t="shared" si="21"/>
        <v>2.0203499999999902E-3</v>
      </c>
      <c r="Y35" s="7">
        <f t="shared" si="9"/>
        <v>1.4210778236999932E-3</v>
      </c>
      <c r="Z35" s="7">
        <f t="shared" si="10"/>
        <v>4.7775030860766305</v>
      </c>
      <c r="AA35" s="7">
        <f t="shared" si="11"/>
        <v>0.10295079185663455</v>
      </c>
      <c r="AC35" s="7">
        <v>5.7012800000000002E-2</v>
      </c>
      <c r="AD35" s="7">
        <v>1.1740999999999999</v>
      </c>
      <c r="AE35" s="7">
        <f t="shared" si="22"/>
        <v>1.1839499999999961E-3</v>
      </c>
      <c r="AF35" s="7">
        <f t="shared" si="12"/>
        <v>1.3900756949999956E-2</v>
      </c>
      <c r="AG35" s="7">
        <f t="shared" si="13"/>
        <v>143.25926415568398</v>
      </c>
      <c r="AH35" s="7">
        <f t="shared" si="14"/>
        <v>1.4629090607723132</v>
      </c>
      <c r="AJ35" s="7">
        <v>0.141097</v>
      </c>
      <c r="AK35" s="7">
        <v>0.15208099999999999</v>
      </c>
      <c r="AL35" s="7">
        <f t="shared" si="23"/>
        <v>2.9625000000000068E-3</v>
      </c>
      <c r="AM35" s="7">
        <f t="shared" si="15"/>
        <v>4.5053996250000103E-3</v>
      </c>
      <c r="AN35" s="7">
        <f t="shared" si="16"/>
        <v>3.0632423426980453</v>
      </c>
      <c r="AO35" s="7">
        <f t="shared" si="17"/>
        <v>0.19158733176467296</v>
      </c>
    </row>
    <row r="36" spans="1:41" x14ac:dyDescent="0.25">
      <c r="A36" s="7">
        <v>7.71245E-3</v>
      </c>
      <c r="B36" s="7">
        <v>0.71861900000000001</v>
      </c>
      <c r="C36" s="7">
        <f t="shared" si="18"/>
        <v>5.1605000000000574E-5</v>
      </c>
      <c r="D36" s="7">
        <f t="shared" si="0"/>
        <v>3.7084333495000413E-4</v>
      </c>
      <c r="E36" s="7">
        <f t="shared" si="1"/>
        <v>1543.8843722419563</v>
      </c>
      <c r="F36" s="7">
        <f t="shared" si="2"/>
        <v>0.28850235783700701</v>
      </c>
      <c r="H36" s="7">
        <v>7.3268099999999996E-3</v>
      </c>
      <c r="I36" s="7">
        <v>0.517903</v>
      </c>
      <c r="J36" s="7">
        <f t="shared" si="19"/>
        <v>2.2755499999999994E-4</v>
      </c>
      <c r="K36" s="7">
        <f t="shared" si="3"/>
        <v>1.1785141716499996E-3</v>
      </c>
      <c r="L36" s="7">
        <f t="shared" si="4"/>
        <v>5722.5737516610043</v>
      </c>
      <c r="M36" s="7">
        <f t="shared" si="5"/>
        <v>0.96509736568847826</v>
      </c>
      <c r="O36" s="7">
        <v>3.4479599999999999E-2</v>
      </c>
      <c r="P36" s="7">
        <v>0.47275800000000001</v>
      </c>
      <c r="Q36" s="7">
        <f t="shared" si="20"/>
        <v>9.5020000000000521E-4</v>
      </c>
      <c r="R36" s="7">
        <f t="shared" si="6"/>
        <v>4.4921465160000255E-3</v>
      </c>
      <c r="S36" s="7">
        <f t="shared" si="7"/>
        <v>209.29971345424966</v>
      </c>
      <c r="T36" s="7">
        <f t="shared" si="8"/>
        <v>0.78170509797097876</v>
      </c>
      <c r="V36" s="7">
        <v>8.4138299999999999E-2</v>
      </c>
      <c r="W36" s="7">
        <v>2.7105000000000001E-2</v>
      </c>
      <c r="X36" s="7">
        <f t="shared" si="21"/>
        <v>2.377100000000007E-3</v>
      </c>
      <c r="Y36" s="7">
        <f t="shared" si="9"/>
        <v>6.443129550000019E-4</v>
      </c>
      <c r="Z36" s="7">
        <f t="shared" si="10"/>
        <v>2.0659368517900556</v>
      </c>
      <c r="AA36" s="7">
        <f t="shared" si="11"/>
        <v>4.5946705959117456E-2</v>
      </c>
      <c r="AC36" s="7">
        <v>5.9198500000000001E-2</v>
      </c>
      <c r="AD36" s="7">
        <v>1.2761</v>
      </c>
      <c r="AE36" s="7">
        <f t="shared" si="22"/>
        <v>2.2768500000000039E-3</v>
      </c>
      <c r="AF36" s="7">
        <f t="shared" si="12"/>
        <v>2.905488285000005E-2</v>
      </c>
      <c r="AG36" s="7">
        <f t="shared" si="13"/>
        <v>267.4782042722249</v>
      </c>
      <c r="AH36" s="7">
        <f t="shared" si="14"/>
        <v>2.9448262557328362</v>
      </c>
      <c r="AJ36" s="7">
        <v>0.14496899999999999</v>
      </c>
      <c r="AK36" s="7">
        <v>0.18475900000000001</v>
      </c>
      <c r="AL36" s="7">
        <f t="shared" si="23"/>
        <v>3.3434999999999993E-3</v>
      </c>
      <c r="AM36" s="7">
        <f t="shared" si="15"/>
        <v>6.1774171649999991E-3</v>
      </c>
      <c r="AN36" s="7">
        <f t="shared" si="16"/>
        <v>3.8724237833602224</v>
      </c>
      <c r="AO36" s="7">
        <f t="shared" si="17"/>
        <v>0.25567192289386009</v>
      </c>
    </row>
    <row r="37" spans="1:41" x14ac:dyDescent="0.25">
      <c r="A37" s="7">
        <v>7.7280600000000001E-3</v>
      </c>
      <c r="B37" s="7">
        <v>0.63980999999999999</v>
      </c>
      <c r="C37" s="7">
        <f t="shared" si="18"/>
        <v>6.9704999999999767E-5</v>
      </c>
      <c r="D37" s="7">
        <f t="shared" si="0"/>
        <v>4.4597956049999846E-4</v>
      </c>
      <c r="E37" s="7">
        <f t="shared" si="1"/>
        <v>1845.461023118688</v>
      </c>
      <c r="F37" s="7">
        <f t="shared" si="2"/>
        <v>0.34625473443529048</v>
      </c>
      <c r="H37" s="7">
        <v>7.5642499999999998E-3</v>
      </c>
      <c r="I37" s="7">
        <v>0.42933199999999999</v>
      </c>
      <c r="J37" s="7">
        <f t="shared" si="19"/>
        <v>1.6856000000000076E-4</v>
      </c>
      <c r="K37" s="7">
        <f t="shared" si="3"/>
        <v>7.2368201920000336E-4</v>
      </c>
      <c r="L37" s="7">
        <f t="shared" si="4"/>
        <v>3193.3868902494632</v>
      </c>
      <c r="M37" s="7">
        <f t="shared" si="5"/>
        <v>0.57402810790230641</v>
      </c>
      <c r="O37" s="7">
        <v>3.5384600000000002E-2</v>
      </c>
      <c r="P37" s="7">
        <v>0.463891</v>
      </c>
      <c r="Q37" s="7">
        <f t="shared" si="20"/>
        <v>8.597499999999994E-4</v>
      </c>
      <c r="R37" s="7">
        <f t="shared" si="6"/>
        <v>3.9883028724999976E-3</v>
      </c>
      <c r="S37" s="7">
        <f t="shared" si="7"/>
        <v>171.92801036417313</v>
      </c>
      <c r="T37" s="7">
        <f t="shared" si="8"/>
        <v>0.67627773763162469</v>
      </c>
      <c r="V37" s="7">
        <v>8.7575E-2</v>
      </c>
      <c r="W37" s="7">
        <v>3.7350399999999998E-3</v>
      </c>
      <c r="X37" s="7">
        <f t="shared" si="21"/>
        <v>3.3343499999999859E-3</v>
      </c>
      <c r="Y37" s="7">
        <f t="shared" si="9"/>
        <v>1.2453930623999946E-4</v>
      </c>
      <c r="Z37" s="7">
        <f t="shared" si="10"/>
        <v>0.35413380181212184</v>
      </c>
      <c r="AA37" s="7">
        <f t="shared" si="11"/>
        <v>8.5325245497002208E-3</v>
      </c>
      <c r="AC37" s="7">
        <v>6.1566500000000003E-2</v>
      </c>
      <c r="AD37" s="7">
        <v>1.1827799999999999</v>
      </c>
      <c r="AE37" s="7">
        <f t="shared" si="22"/>
        <v>1.4571999999999918E-3</v>
      </c>
      <c r="AF37" s="7">
        <f t="shared" si="12"/>
        <v>1.7235470159999905E-2</v>
      </c>
      <c r="AG37" s="7">
        <f t="shared" si="13"/>
        <v>141.05585490143667</v>
      </c>
      <c r="AH37" s="7">
        <f t="shared" si="14"/>
        <v>1.6796930304629862</v>
      </c>
      <c r="AJ37" s="7">
        <v>0.147784</v>
      </c>
      <c r="AK37" s="7">
        <v>0.14584900000000001</v>
      </c>
      <c r="AL37" s="7">
        <f t="shared" si="23"/>
        <v>2.7115000000000056E-3</v>
      </c>
      <c r="AM37" s="7">
        <f t="shared" si="15"/>
        <v>3.9546956350000086E-3</v>
      </c>
      <c r="AN37" s="7">
        <f t="shared" si="16"/>
        <v>2.3400880054188575</v>
      </c>
      <c r="AO37" s="7">
        <f t="shared" si="17"/>
        <v>0.16055982927786533</v>
      </c>
    </row>
    <row r="38" spans="1:41" x14ac:dyDescent="0.25">
      <c r="A38" s="7">
        <v>7.8518600000000004E-3</v>
      </c>
      <c r="B38" s="7">
        <v>0.573519</v>
      </c>
      <c r="C38" s="7">
        <f t="shared" si="18"/>
        <v>1.3272999999999931E-4</v>
      </c>
      <c r="D38" s="7">
        <f t="shared" si="0"/>
        <v>7.6123176869999603E-4</v>
      </c>
      <c r="E38" s="7">
        <f t="shared" si="1"/>
        <v>3003.3133035463024</v>
      </c>
      <c r="F38" s="7">
        <f t="shared" si="2"/>
        <v>0.58169537054914067</v>
      </c>
      <c r="H38" s="7">
        <v>7.6639300000000002E-3</v>
      </c>
      <c r="I38" s="7">
        <v>0.34668900000000002</v>
      </c>
      <c r="J38" s="7">
        <f t="shared" si="19"/>
        <v>1.2919999999999945E-4</v>
      </c>
      <c r="K38" s="7">
        <f t="shared" si="3"/>
        <v>4.4792218799999812E-4</v>
      </c>
      <c r="L38" s="7">
        <f t="shared" si="4"/>
        <v>1900.4190075768083</v>
      </c>
      <c r="M38" s="7">
        <f t="shared" si="5"/>
        <v>0.35067297430952388</v>
      </c>
      <c r="O38" s="7">
        <v>3.6199099999999998E-2</v>
      </c>
      <c r="P38" s="7">
        <v>0.44005300000000003</v>
      </c>
      <c r="Q38" s="7">
        <f t="shared" si="20"/>
        <v>5.882499999999985E-4</v>
      </c>
      <c r="R38" s="7">
        <f t="shared" si="6"/>
        <v>2.5886117724999934E-3</v>
      </c>
      <c r="S38" s="7">
        <f t="shared" si="7"/>
        <v>104.22573838299925</v>
      </c>
      <c r="T38" s="7">
        <f t="shared" si="8"/>
        <v>0.42906234229580187</v>
      </c>
      <c r="V38" s="7">
        <v>9.0806999999999999E-2</v>
      </c>
      <c r="W38" s="7">
        <v>6.9499200000000001E-3</v>
      </c>
      <c r="X38" s="7">
        <f t="shared" si="21"/>
        <v>3.9389499999999966E-3</v>
      </c>
      <c r="Y38" s="7">
        <f t="shared" si="9"/>
        <v>2.7375387383999977E-4</v>
      </c>
      <c r="Z38" s="7">
        <f t="shared" si="10"/>
        <v>0.69823829960766681</v>
      </c>
      <c r="AA38" s="7">
        <f t="shared" si="11"/>
        <v>1.8088068574449091E-2</v>
      </c>
      <c r="AC38" s="7">
        <v>6.2112899999999999E-2</v>
      </c>
      <c r="AD38" s="7">
        <v>1.06907</v>
      </c>
      <c r="AE38" s="7">
        <f t="shared" si="22"/>
        <v>7.2859999999999592E-4</v>
      </c>
      <c r="AF38" s="7">
        <f t="shared" si="12"/>
        <v>7.7892440199999573E-3</v>
      </c>
      <c r="AG38" s="7">
        <f t="shared" si="13"/>
        <v>62.079937001638825</v>
      </c>
      <c r="AH38" s="7">
        <f t="shared" si="14"/>
        <v>0.75242766188665711</v>
      </c>
      <c r="AJ38" s="7">
        <v>0.150392</v>
      </c>
      <c r="AK38" s="7">
        <v>0.100426</v>
      </c>
      <c r="AL38" s="7">
        <f t="shared" si="23"/>
        <v>3.444500000000017E-3</v>
      </c>
      <c r="AM38" s="7">
        <f t="shared" si="15"/>
        <v>3.4591735700000171E-3</v>
      </c>
      <c r="AN38" s="7">
        <f t="shared" si="16"/>
        <v>1.9422249424140152</v>
      </c>
      <c r="AO38" s="7">
        <f t="shared" si="17"/>
        <v>0.13800628637161622</v>
      </c>
    </row>
    <row r="39" spans="1:41" x14ac:dyDescent="0.25">
      <c r="A39" s="7">
        <v>7.9935200000000005E-3</v>
      </c>
      <c r="B39" s="7">
        <v>0.50364299999999995</v>
      </c>
      <c r="C39" s="7">
        <f t="shared" si="18"/>
        <v>1.4168999999999987E-4</v>
      </c>
      <c r="D39" s="7">
        <f t="shared" si="0"/>
        <v>7.1361176669999934E-4</v>
      </c>
      <c r="E39" s="7">
        <f t="shared" si="1"/>
        <v>2668.3892503914171</v>
      </c>
      <c r="F39" s="7">
        <f t="shared" si="2"/>
        <v>0.53564269560844224</v>
      </c>
      <c r="H39" s="7">
        <v>7.8226500000000004E-3</v>
      </c>
      <c r="I39" s="7">
        <v>0.26206800000000002</v>
      </c>
      <c r="J39" s="7">
        <f t="shared" si="19"/>
        <v>1.784449999999993E-4</v>
      </c>
      <c r="K39" s="7">
        <f t="shared" si="3"/>
        <v>4.6764724259999821E-4</v>
      </c>
      <c r="L39" s="7">
        <f t="shared" si="4"/>
        <v>1865.7697909083379</v>
      </c>
      <c r="M39" s="7">
        <f t="shared" si="5"/>
        <v>0.35868707606757161</v>
      </c>
      <c r="O39" s="7">
        <v>3.6561099999999999E-2</v>
      </c>
      <c r="P39" s="7">
        <v>0.41976599999999997</v>
      </c>
      <c r="Q39" s="7">
        <f t="shared" si="20"/>
        <v>5.4300000000000181E-4</v>
      </c>
      <c r="R39" s="7">
        <f t="shared" si="6"/>
        <v>2.2793293800000077E-3</v>
      </c>
      <c r="S39" s="7">
        <f t="shared" si="7"/>
        <v>89.073948653197007</v>
      </c>
      <c r="T39" s="7">
        <f t="shared" si="8"/>
        <v>0.37405811860146565</v>
      </c>
      <c r="V39" s="7">
        <v>9.5452899999999993E-2</v>
      </c>
      <c r="W39" s="7">
        <v>1.34401E-2</v>
      </c>
      <c r="X39" s="7">
        <f t="shared" si="21"/>
        <v>4.5965000000000034E-3</v>
      </c>
      <c r="Y39" s="7">
        <f t="shared" si="9"/>
        <v>6.1777419650000038E-4</v>
      </c>
      <c r="Z39" s="7">
        <f t="shared" si="10"/>
        <v>1.3566373197138539</v>
      </c>
      <c r="AA39" s="7">
        <f t="shared" si="11"/>
        <v>3.8832190315852139E-2</v>
      </c>
      <c r="AC39" s="7">
        <v>6.3023700000000002E-2</v>
      </c>
      <c r="AD39" s="7">
        <v>0.97575800000000001</v>
      </c>
      <c r="AE39" s="7">
        <f t="shared" si="22"/>
        <v>4.5540000000000858E-4</v>
      </c>
      <c r="AF39" s="7">
        <f t="shared" si="12"/>
        <v>4.4436019320000832E-3</v>
      </c>
      <c r="AG39" s="7">
        <f t="shared" si="13"/>
        <v>33.901962259538813</v>
      </c>
      <c r="AH39" s="7">
        <f t="shared" si="14"/>
        <v>0.42304103998972614</v>
      </c>
      <c r="AJ39" s="7">
        <v>0.154673</v>
      </c>
      <c r="AK39" s="7">
        <v>0.139625</v>
      </c>
      <c r="AL39" s="7">
        <f t="shared" si="23"/>
        <v>3.7554999999999672E-3</v>
      </c>
      <c r="AM39" s="7">
        <f t="shared" si="15"/>
        <v>5.2436168749999549E-3</v>
      </c>
      <c r="AN39" s="7">
        <f t="shared" si="16"/>
        <v>2.7063801714078974</v>
      </c>
      <c r="AO39" s="7">
        <f t="shared" si="17"/>
        <v>0.2034078426745439</v>
      </c>
    </row>
    <row r="40" spans="1:41" x14ac:dyDescent="0.25">
      <c r="A40" s="7">
        <v>8.1352400000000002E-3</v>
      </c>
      <c r="B40" s="7">
        <v>0.435558</v>
      </c>
      <c r="C40" s="7">
        <f t="shared" si="18"/>
        <v>1.5952500000000064E-4</v>
      </c>
      <c r="D40" s="7">
        <f t="shared" si="0"/>
        <v>6.9482389950000281E-4</v>
      </c>
      <c r="E40" s="7">
        <f t="shared" si="1"/>
        <v>2464.705401216474</v>
      </c>
      <c r="F40" s="7">
        <f t="shared" si="2"/>
        <v>0.51245487496374009</v>
      </c>
      <c r="H40" s="7">
        <v>8.0208199999999997E-3</v>
      </c>
      <c r="I40" s="7">
        <v>0.16957</v>
      </c>
      <c r="J40" s="7">
        <f t="shared" si="19"/>
        <v>2.56880000000001E-4</v>
      </c>
      <c r="K40" s="7">
        <f t="shared" si="3"/>
        <v>4.3559141600000163E-4</v>
      </c>
      <c r="L40" s="7">
        <f t="shared" si="4"/>
        <v>1612.2202801541055</v>
      </c>
      <c r="M40" s="7">
        <f t="shared" si="5"/>
        <v>0.32584554895883594</v>
      </c>
      <c r="O40" s="7">
        <v>3.7285100000000002E-2</v>
      </c>
      <c r="P40" s="7">
        <v>0.40210000000000001</v>
      </c>
      <c r="Q40" s="7">
        <f t="shared" si="20"/>
        <v>9.0495000000000159E-4</v>
      </c>
      <c r="R40" s="7">
        <f t="shared" si="6"/>
        <v>3.638803950000007E-3</v>
      </c>
      <c r="S40" s="7">
        <f t="shared" si="7"/>
        <v>134.07694274127496</v>
      </c>
      <c r="T40" s="7">
        <f t="shared" si="8"/>
        <v>0.5855643058487181</v>
      </c>
      <c r="V40" s="7">
        <v>0.1</v>
      </c>
      <c r="W40" s="7">
        <v>0</v>
      </c>
      <c r="AC40" s="7">
        <v>6.3023700000000002E-2</v>
      </c>
      <c r="AD40" s="7">
        <v>0.81540800000000002</v>
      </c>
      <c r="AE40" s="7">
        <f t="shared" si="22"/>
        <v>6.3749999999999918E-4</v>
      </c>
      <c r="AF40" s="7">
        <f t="shared" si="12"/>
        <v>5.1982259999999933E-3</v>
      </c>
      <c r="AG40" s="7">
        <f t="shared" si="13"/>
        <v>39.659281899094708</v>
      </c>
      <c r="AH40" s="7">
        <f t="shared" si="14"/>
        <v>0.49488297259602287</v>
      </c>
      <c r="AJ40" s="7">
        <v>0.15790299999999999</v>
      </c>
      <c r="AK40" s="7">
        <v>0.116992</v>
      </c>
      <c r="AL40" s="7">
        <f t="shared" si="23"/>
        <v>3.5290000000000044E-3</v>
      </c>
      <c r="AM40" s="7">
        <f t="shared" si="15"/>
        <v>4.1286476800000051E-3</v>
      </c>
      <c r="AN40" s="7">
        <f t="shared" si="16"/>
        <v>2.002802190308449</v>
      </c>
      <c r="AO40" s="7">
        <f t="shared" si="17"/>
        <v>0.15688040176564114</v>
      </c>
    </row>
    <row r="41" spans="1:41" x14ac:dyDescent="0.25">
      <c r="A41" s="7">
        <v>8.31257E-3</v>
      </c>
      <c r="B41" s="7">
        <v>0.35671999999999998</v>
      </c>
      <c r="C41" s="7">
        <f t="shared" si="18"/>
        <v>2.2265999999999952E-4</v>
      </c>
      <c r="D41" s="7">
        <f t="shared" si="0"/>
        <v>7.9427275199999824E-4</v>
      </c>
      <c r="E41" s="7">
        <f t="shared" si="1"/>
        <v>2640.9798959866912</v>
      </c>
      <c r="F41" s="7">
        <f t="shared" si="2"/>
        <v>0.57330482774881775</v>
      </c>
      <c r="H41" s="7">
        <v>8.3364100000000007E-3</v>
      </c>
      <c r="I41" s="7">
        <v>0.112458</v>
      </c>
      <c r="J41" s="7">
        <f t="shared" si="19"/>
        <v>3.54755E-4</v>
      </c>
      <c r="K41" s="7">
        <f t="shared" si="3"/>
        <v>3.9895037790000005E-4</v>
      </c>
      <c r="L41" s="7">
        <f t="shared" si="4"/>
        <v>1315.173534314649</v>
      </c>
      <c r="M41" s="7">
        <f t="shared" si="5"/>
        <v>0.28713826064217091</v>
      </c>
      <c r="O41" s="7">
        <v>3.8371000000000002E-2</v>
      </c>
      <c r="P41" s="7">
        <v>0.38617400000000002</v>
      </c>
      <c r="Q41" s="7">
        <f t="shared" si="20"/>
        <v>1.0406999999999986E-3</v>
      </c>
      <c r="R41" s="7">
        <f t="shared" si="6"/>
        <v>4.0189128179999953E-3</v>
      </c>
      <c r="S41" s="7">
        <f t="shared" si="7"/>
        <v>135.86281538939383</v>
      </c>
      <c r="T41" s="7">
        <f t="shared" si="8"/>
        <v>0.62842972317635637</v>
      </c>
      <c r="AC41" s="7">
        <v>6.42987E-2</v>
      </c>
      <c r="AD41" s="7">
        <v>0.68710899999999997</v>
      </c>
      <c r="AE41" s="7">
        <f t="shared" si="22"/>
        <v>1.4571999999999918E-3</v>
      </c>
      <c r="AF41" s="7">
        <f t="shared" si="12"/>
        <v>1.0012552347999944E-2</v>
      </c>
      <c r="AG41" s="7">
        <f t="shared" si="13"/>
        <v>71.934892714063594</v>
      </c>
      <c r="AH41" s="7">
        <f t="shared" si="14"/>
        <v>0.93431615395023015</v>
      </c>
      <c r="AJ41" s="7">
        <v>0.16173100000000001</v>
      </c>
      <c r="AK41" s="7">
        <v>7.8123200000000004E-2</v>
      </c>
      <c r="AL41" s="7">
        <f t="shared" si="23"/>
        <v>3.5320000000000351E-3</v>
      </c>
      <c r="AM41" s="7">
        <f t="shared" si="15"/>
        <v>2.7593114240000278E-3</v>
      </c>
      <c r="AN41" s="7">
        <f t="shared" si="16"/>
        <v>1.2457252894688111</v>
      </c>
      <c r="AO41" s="7">
        <f t="shared" si="17"/>
        <v>0.10236669867867115</v>
      </c>
    </row>
    <row r="42" spans="1:41" x14ac:dyDescent="0.25">
      <c r="A42" s="7">
        <v>8.5805599999999992E-3</v>
      </c>
      <c r="B42" s="7">
        <v>0.304732</v>
      </c>
      <c r="C42" s="7">
        <f t="shared" si="18"/>
        <v>2.9490999999999892E-4</v>
      </c>
      <c r="D42" s="7">
        <f t="shared" si="0"/>
        <v>8.9868514119999655E-4</v>
      </c>
      <c r="E42" s="7">
        <f t="shared" si="1"/>
        <v>2716.8273550694776</v>
      </c>
      <c r="F42" s="7">
        <f t="shared" si="2"/>
        <v>0.62841013257875711</v>
      </c>
      <c r="H42" s="7">
        <v>8.7303299999999997E-3</v>
      </c>
      <c r="I42" s="7">
        <v>7.5003899999999998E-2</v>
      </c>
      <c r="J42" s="7">
        <f t="shared" si="19"/>
        <v>4.8247000000000047E-4</v>
      </c>
      <c r="K42" s="7">
        <f t="shared" si="3"/>
        <v>3.6187131633000038E-4</v>
      </c>
      <c r="L42" s="7">
        <f t="shared" si="4"/>
        <v>1038.6364454810571</v>
      </c>
      <c r="M42" s="7">
        <f t="shared" si="5"/>
        <v>0.24869940746569744</v>
      </c>
      <c r="O42" s="7">
        <v>3.9366499999999999E-2</v>
      </c>
      <c r="P42" s="7">
        <v>0.37025400000000003</v>
      </c>
      <c r="Q42" s="7">
        <f t="shared" si="20"/>
        <v>8.1450000000000272E-4</v>
      </c>
      <c r="R42" s="7">
        <f t="shared" si="6"/>
        <v>3.0157188300000103E-3</v>
      </c>
      <c r="S42" s="7">
        <f t="shared" si="7"/>
        <v>94.4086554972301</v>
      </c>
      <c r="T42" s="7">
        <f t="shared" si="8"/>
        <v>0.45963733072536461</v>
      </c>
      <c r="AC42" s="7">
        <v>6.5938099999999999E-2</v>
      </c>
      <c r="AD42" s="7">
        <v>0.57629799999999998</v>
      </c>
      <c r="AE42" s="7">
        <f t="shared" si="22"/>
        <v>2.3679500000000075E-3</v>
      </c>
      <c r="AF42" s="7">
        <f t="shared" si="12"/>
        <v>1.3646448491000043E-2</v>
      </c>
      <c r="AG42" s="7">
        <f t="shared" si="13"/>
        <v>90.910015428498866</v>
      </c>
      <c r="AH42" s="7">
        <f t="shared" si="14"/>
        <v>1.2417508382255518</v>
      </c>
      <c r="AJ42" s="7">
        <v>0.164967</v>
      </c>
      <c r="AK42" s="7">
        <v>6.5246600000000002E-2</v>
      </c>
      <c r="AL42" s="7">
        <f t="shared" si="23"/>
        <v>3.3414999999999973E-3</v>
      </c>
      <c r="AM42" s="7">
        <f t="shared" si="15"/>
        <v>2.1802151389999982E-3</v>
      </c>
      <c r="AN42" s="7">
        <f t="shared" si="16"/>
        <v>0.92749056152616516</v>
      </c>
      <c r="AO42" s="7">
        <f t="shared" si="17"/>
        <v>7.9296409791049044E-2</v>
      </c>
    </row>
    <row r="43" spans="1:41" x14ac:dyDescent="0.25">
      <c r="A43" s="7">
        <v>8.9023899999999996E-3</v>
      </c>
      <c r="B43" s="7">
        <v>0.25094300000000003</v>
      </c>
      <c r="C43" s="7">
        <f t="shared" si="18"/>
        <v>3.0378500000000086E-4</v>
      </c>
      <c r="D43" s="7">
        <f t="shared" si="0"/>
        <v>7.6232719255000234E-4</v>
      </c>
      <c r="E43" s="7">
        <f t="shared" si="1"/>
        <v>2063.5877484934417</v>
      </c>
      <c r="F43" s="7">
        <f t="shared" si="2"/>
        <v>0.51379047146889933</v>
      </c>
      <c r="H43" s="7">
        <v>9.3013499999999999E-3</v>
      </c>
      <c r="I43" s="7">
        <v>3.1612800000000003E-2</v>
      </c>
      <c r="J43" s="7">
        <f t="shared" si="19"/>
        <v>6.0027499999999907E-4</v>
      </c>
      <c r="K43" s="7">
        <f t="shared" si="3"/>
        <v>1.8976373519999975E-4</v>
      </c>
      <c r="L43" s="7">
        <f t="shared" si="4"/>
        <v>450.37745003555938</v>
      </c>
      <c r="M43" s="7">
        <f t="shared" si="5"/>
        <v>0.12241044699962893</v>
      </c>
      <c r="O43" s="7">
        <v>0.04</v>
      </c>
      <c r="P43" s="7">
        <v>0.33849699999999999</v>
      </c>
      <c r="Q43" s="7">
        <f t="shared" si="20"/>
        <v>7.2399999999999548E-4</v>
      </c>
      <c r="R43" s="7">
        <f t="shared" si="6"/>
        <v>2.4507182799999847E-3</v>
      </c>
      <c r="S43" s="7">
        <f t="shared" si="7"/>
        <v>73.13323657268721</v>
      </c>
      <c r="T43" s="7">
        <f t="shared" si="8"/>
        <v>0.36760774199999768</v>
      </c>
      <c r="AC43" s="7">
        <v>6.9034600000000002E-2</v>
      </c>
      <c r="AD43" s="7">
        <v>0.480043</v>
      </c>
      <c r="AE43" s="7">
        <f t="shared" si="22"/>
        <v>2.4590000000000029E-3</v>
      </c>
      <c r="AF43" s="7">
        <f t="shared" si="12"/>
        <v>1.1804257370000014E-2</v>
      </c>
      <c r="AG43" s="7">
        <f t="shared" si="13"/>
        <v>68.523511314391712</v>
      </c>
      <c r="AH43" s="7">
        <f t="shared" si="14"/>
        <v>1.0259427043830207</v>
      </c>
      <c r="AJ43" s="7">
        <v>0.16841400000000001</v>
      </c>
      <c r="AK43" s="7">
        <v>6.5386799999999995E-2</v>
      </c>
      <c r="AL43" s="7">
        <f t="shared" si="23"/>
        <v>3.4299999999999886E-3</v>
      </c>
      <c r="AM43" s="7">
        <f t="shared" si="15"/>
        <v>2.2427672399999922E-3</v>
      </c>
      <c r="AN43" s="7">
        <f t="shared" si="16"/>
        <v>0.89670792646167286</v>
      </c>
      <c r="AO43" s="7">
        <f t="shared" si="17"/>
        <v>7.9901928818268991E-2</v>
      </c>
    </row>
    <row r="44" spans="1:41" x14ac:dyDescent="0.25">
      <c r="A44" s="7">
        <v>9.1881299999999992E-3</v>
      </c>
      <c r="B44" s="7">
        <v>0.19178700000000001</v>
      </c>
      <c r="C44" s="7">
        <f t="shared" si="18"/>
        <v>3.2160000000000001E-4</v>
      </c>
      <c r="D44" s="7">
        <f t="shared" si="0"/>
        <v>6.1678699200000018E-4</v>
      </c>
      <c r="E44" s="7">
        <f t="shared" si="1"/>
        <v>1518.6412415817019</v>
      </c>
      <c r="F44" s="7">
        <f t="shared" si="2"/>
        <v>0.40277204959006913</v>
      </c>
      <c r="H44" s="7">
        <v>9.9308799999999996E-3</v>
      </c>
      <c r="I44" s="7">
        <v>1.7718500000000002E-2</v>
      </c>
      <c r="J44" s="7">
        <f t="shared" si="19"/>
        <v>5.9012500000000037E-4</v>
      </c>
      <c r="K44" s="7">
        <f t="shared" si="3"/>
        <v>1.0456129812500009E-4</v>
      </c>
      <c r="L44" s="7">
        <f t="shared" si="4"/>
        <v>203.89620458383763</v>
      </c>
      <c r="M44" s="7">
        <f t="shared" si="5"/>
        <v>6.3173433648377644E-2</v>
      </c>
      <c r="O44" s="7">
        <v>4.0814499999999997E-2</v>
      </c>
      <c r="P44" s="7">
        <v>0.31818200000000002</v>
      </c>
      <c r="Q44" s="7">
        <f t="shared" si="20"/>
        <v>7.692499999999991E-4</v>
      </c>
      <c r="R44" s="7">
        <f t="shared" si="6"/>
        <v>2.4476150349999975E-3</v>
      </c>
      <c r="S44" s="7">
        <f t="shared" si="7"/>
        <v>68.754487379554391</v>
      </c>
      <c r="T44" s="7">
        <f t="shared" si="8"/>
        <v>0.35981551188915673</v>
      </c>
      <c r="AC44" s="7">
        <v>7.0856100000000005E-2</v>
      </c>
      <c r="AD44" s="7">
        <v>0.39546900000000001</v>
      </c>
      <c r="AE44" s="7">
        <f t="shared" si="22"/>
        <v>1.8214999999999898E-3</v>
      </c>
      <c r="AF44" s="7">
        <f t="shared" si="12"/>
        <v>7.2034678349999597E-3</v>
      </c>
      <c r="AG44" s="7">
        <f t="shared" si="13"/>
        <v>38.673302949017867</v>
      </c>
      <c r="AH44" s="7">
        <f t="shared" si="14"/>
        <v>0.60998004420225993</v>
      </c>
      <c r="AJ44" s="7">
        <v>0.17182700000000001</v>
      </c>
      <c r="AK44" s="7">
        <v>1.0240900000000001E-2</v>
      </c>
      <c r="AL44" s="7">
        <f t="shared" si="23"/>
        <v>4.2395000000000072E-3</v>
      </c>
      <c r="AM44" s="7">
        <f t="shared" si="15"/>
        <v>4.3416295550000072E-4</v>
      </c>
      <c r="AN44" s="7">
        <f t="shared" si="16"/>
        <v>0.16344811628783001</v>
      </c>
      <c r="AO44" s="7">
        <f t="shared" si="17"/>
        <v>1.51604679881509E-2</v>
      </c>
    </row>
    <row r="45" spans="1:41" x14ac:dyDescent="0.25">
      <c r="A45" s="7">
        <v>9.5455899999999996E-3</v>
      </c>
      <c r="B45" s="7">
        <v>0.127246</v>
      </c>
      <c r="C45" s="7">
        <f t="shared" si="18"/>
        <v>3.5783500000000079E-4</v>
      </c>
      <c r="D45" s="7">
        <f t="shared" si="0"/>
        <v>4.5533072410000103E-4</v>
      </c>
      <c r="E45" s="7">
        <f t="shared" si="1"/>
        <v>999.81581820376243</v>
      </c>
      <c r="F45" s="7">
        <f t="shared" si="2"/>
        <v>0.28620382235147396</v>
      </c>
      <c r="H45" s="7">
        <v>1.0481600000000001E-2</v>
      </c>
      <c r="I45" s="7">
        <v>1.17085E-2</v>
      </c>
      <c r="J45" s="7">
        <f t="shared" si="19"/>
        <v>7.4741000000000044E-4</v>
      </c>
      <c r="K45" s="7">
        <f t="shared" si="3"/>
        <v>8.7510499850000048E-5</v>
      </c>
      <c r="L45" s="7">
        <f t="shared" si="4"/>
        <v>145.13721855998233</v>
      </c>
      <c r="M45" s="7">
        <f t="shared" si="5"/>
        <v>5.0093783305983845E-2</v>
      </c>
      <c r="O45" s="7">
        <v>4.1538499999999999E-2</v>
      </c>
      <c r="P45" s="7">
        <v>0.280252</v>
      </c>
      <c r="Q45" s="7">
        <f t="shared" si="20"/>
        <v>8.1445000000000128E-4</v>
      </c>
      <c r="R45" s="7">
        <f t="shared" si="6"/>
        <v>2.2825124140000035E-3</v>
      </c>
      <c r="S45" s="7">
        <f t="shared" si="7"/>
        <v>60.822196083950878</v>
      </c>
      <c r="T45" s="7">
        <f t="shared" si="8"/>
        <v>0.32969593230376693</v>
      </c>
      <c r="AC45" s="7">
        <v>7.2677599999999995E-2</v>
      </c>
      <c r="AD45" s="7">
        <v>0.31672499999999998</v>
      </c>
      <c r="AE45" s="7">
        <f t="shared" si="22"/>
        <v>1.9125500000000129E-3</v>
      </c>
      <c r="AF45" s="7">
        <f t="shared" si="12"/>
        <v>6.0575239875000396E-3</v>
      </c>
      <c r="AG45" s="7">
        <f t="shared" si="13"/>
        <v>30.136637083717353</v>
      </c>
      <c r="AH45" s="7">
        <f t="shared" si="14"/>
        <v>0.50008728858685814</v>
      </c>
      <c r="AJ45" s="7">
        <v>0.17689299999999999</v>
      </c>
      <c r="AK45" s="7">
        <v>7.1948699999999999E-3</v>
      </c>
      <c r="AL45" s="7">
        <f t="shared" si="23"/>
        <v>4.7644999999999771E-3</v>
      </c>
      <c r="AM45" s="7">
        <f t="shared" si="15"/>
        <v>3.4279958114999837E-4</v>
      </c>
      <c r="AN45" s="7">
        <f t="shared" si="16"/>
        <v>0.11827956487468447</v>
      </c>
      <c r="AO45" s="7">
        <f t="shared" si="17"/>
        <v>1.1627353750007013E-2</v>
      </c>
    </row>
    <row r="46" spans="1:41" x14ac:dyDescent="0.25">
      <c r="A46" s="7">
        <v>9.9038000000000008E-3</v>
      </c>
      <c r="B46" s="7">
        <v>8.7778400000000006E-2</v>
      </c>
      <c r="C46" s="7">
        <f t="shared" si="18"/>
        <v>4.5700499999999991E-4</v>
      </c>
      <c r="D46" s="7">
        <f t="shared" si="0"/>
        <v>4.0115167691999991E-4</v>
      </c>
      <c r="E46" s="7">
        <f t="shared" si="1"/>
        <v>788.68649662329472</v>
      </c>
      <c r="F46" s="7">
        <f t="shared" si="2"/>
        <v>0.24302894459904278</v>
      </c>
      <c r="H46" s="7">
        <v>1.14257E-2</v>
      </c>
      <c r="I46" s="7">
        <v>3.6539599999999999E-3</v>
      </c>
      <c r="J46" s="7">
        <f t="shared" si="19"/>
        <v>8.0634999999999908E-4</v>
      </c>
      <c r="K46" s="7">
        <f t="shared" si="3"/>
        <v>2.9463706459999965E-5</v>
      </c>
      <c r="L46" s="7">
        <f t="shared" si="4"/>
        <v>37.725960565564449</v>
      </c>
      <c r="M46" s="7">
        <f t="shared" si="5"/>
        <v>1.5472333315245437E-2</v>
      </c>
      <c r="O46" s="7">
        <v>4.2443399999999999E-2</v>
      </c>
      <c r="P46" s="7">
        <v>0.249359</v>
      </c>
      <c r="Q46" s="7">
        <f t="shared" si="20"/>
        <v>7.6919999999999766E-4</v>
      </c>
      <c r="R46" s="7">
        <f t="shared" si="6"/>
        <v>1.9180694279999941E-3</v>
      </c>
      <c r="S46" s="7">
        <f t="shared" si="7"/>
        <v>47.910996225208478</v>
      </c>
      <c r="T46" s="7">
        <f t="shared" si="8"/>
        <v>0.27114737669460898</v>
      </c>
      <c r="AC46" s="7">
        <v>7.4681200000000003E-2</v>
      </c>
      <c r="AD46" s="7">
        <v>0.243809</v>
      </c>
      <c r="AE46" s="7">
        <f t="shared" si="22"/>
        <v>1.7303999999999931E-3</v>
      </c>
      <c r="AF46" s="7">
        <f t="shared" si="12"/>
        <v>4.2188709359999828E-3</v>
      </c>
      <c r="AG46" s="7">
        <f t="shared" si="13"/>
        <v>19.344778180253847</v>
      </c>
      <c r="AH46" s="7">
        <f t="shared" si="14"/>
        <v>0.33895044021788484</v>
      </c>
      <c r="AJ46" s="7">
        <v>0.18135599999999999</v>
      </c>
      <c r="AK46" s="7">
        <v>1.06283E-2</v>
      </c>
      <c r="AL46" s="7">
        <f t="shared" si="23"/>
        <v>6.9960000000000022E-3</v>
      </c>
      <c r="AM46" s="7">
        <f t="shared" si="15"/>
        <v>7.4355586800000024E-4</v>
      </c>
      <c r="AN46" s="7">
        <f t="shared" si="16"/>
        <v>0.23807796288764352</v>
      </c>
      <c r="AO46" s="7">
        <f t="shared" si="17"/>
        <v>2.459987653013963E-2</v>
      </c>
    </row>
    <row r="47" spans="1:41" x14ac:dyDescent="0.25">
      <c r="A47" s="7">
        <v>1.0459599999999999E-2</v>
      </c>
      <c r="B47" s="7">
        <v>4.4693799999999999E-2</v>
      </c>
      <c r="C47" s="7">
        <f t="shared" si="18"/>
        <v>5.9209999999999992E-4</v>
      </c>
      <c r="D47" s="7">
        <f t="shared" si="0"/>
        <v>2.6463198979999997E-4</v>
      </c>
      <c r="E47" s="7">
        <f t="shared" si="1"/>
        <v>441.67059960811292</v>
      </c>
      <c r="F47" s="7">
        <f t="shared" si="2"/>
        <v>0.15180235752801255</v>
      </c>
      <c r="H47" s="7">
        <v>1.2094300000000001E-2</v>
      </c>
      <c r="I47" s="7">
        <v>7.4568600000000001E-3</v>
      </c>
      <c r="J47" s="7">
        <f t="shared" si="19"/>
        <v>7.8655000000000044E-4</v>
      </c>
      <c r="K47" s="7">
        <f t="shared" si="3"/>
        <v>5.8651932330000032E-5</v>
      </c>
      <c r="L47" s="7">
        <f t="shared" si="4"/>
        <v>63.320085292818746</v>
      </c>
      <c r="M47" s="7">
        <f t="shared" si="5"/>
        <v>2.9097309805445559E-2</v>
      </c>
      <c r="O47" s="7">
        <v>4.3076900000000001E-2</v>
      </c>
      <c r="P47" s="7">
        <v>0.230818</v>
      </c>
      <c r="Q47" s="7">
        <f t="shared" si="20"/>
        <v>6.7875000000000574E-4</v>
      </c>
      <c r="R47" s="7">
        <f t="shared" si="6"/>
        <v>1.5666771750000132E-3</v>
      </c>
      <c r="S47" s="7">
        <f t="shared" si="7"/>
        <v>37.432390926560316</v>
      </c>
      <c r="T47" s="7">
        <f t="shared" si="8"/>
        <v>0.21821586627635881</v>
      </c>
      <c r="AC47" s="7">
        <v>7.6138399999999995E-2</v>
      </c>
      <c r="AD47" s="7">
        <v>0.15923999999999999</v>
      </c>
      <c r="AE47" s="7">
        <f t="shared" si="22"/>
        <v>1.9126000000000004E-3</v>
      </c>
      <c r="AF47" s="7">
        <f t="shared" si="12"/>
        <v>3.0456242400000006E-3</v>
      </c>
      <c r="AG47" s="7">
        <f t="shared" si="13"/>
        <v>13.178514525196883</v>
      </c>
      <c r="AH47" s="7">
        <f t="shared" si="14"/>
        <v>0.24000695365282182</v>
      </c>
      <c r="AJ47" s="7">
        <v>0.190885</v>
      </c>
      <c r="AK47" s="7">
        <v>1.10156E-2</v>
      </c>
      <c r="AL47" s="7">
        <f t="shared" si="23"/>
        <v>9.3220000000000247E-3</v>
      </c>
      <c r="AM47" s="7">
        <f t="shared" si="15"/>
        <v>1.0268742320000026E-3</v>
      </c>
      <c r="AN47" s="7">
        <f t="shared" si="16"/>
        <v>0.2819702093658723</v>
      </c>
      <c r="AO47" s="7">
        <f t="shared" si="17"/>
        <v>3.2277263231788859E-2</v>
      </c>
    </row>
    <row r="48" spans="1:41" x14ac:dyDescent="0.25">
      <c r="A48" s="7">
        <v>1.1088000000000001E-2</v>
      </c>
      <c r="B48" s="7">
        <v>2.6670800000000001E-2</v>
      </c>
      <c r="C48" s="7">
        <f t="shared" si="18"/>
        <v>6.463500000000004E-4</v>
      </c>
      <c r="D48" s="7">
        <f t="shared" si="0"/>
        <v>1.7238671580000015E-4</v>
      </c>
      <c r="E48" s="7">
        <f t="shared" si="1"/>
        <v>241.51578559873798</v>
      </c>
      <c r="F48" s="7">
        <f t="shared" si="2"/>
        <v>9.3282854870129953E-2</v>
      </c>
      <c r="H48" s="7">
        <v>1.29988E-2</v>
      </c>
      <c r="I48" s="7">
        <v>1.1213300000000001E-2</v>
      </c>
      <c r="J48" s="7">
        <f t="shared" si="19"/>
        <v>7.5710000000000013E-4</v>
      </c>
      <c r="K48" s="7">
        <f t="shared" si="3"/>
        <v>8.4895894300000013E-5</v>
      </c>
      <c r="L48" s="7">
        <f t="shared" si="4"/>
        <v>73.820720570494217</v>
      </c>
      <c r="M48" s="7">
        <f t="shared" si="5"/>
        <v>3.9186337646552001E-2</v>
      </c>
      <c r="O48" s="7">
        <v>4.3800899999999997E-2</v>
      </c>
      <c r="P48" s="7">
        <v>0.20346</v>
      </c>
      <c r="Q48" s="7">
        <f t="shared" si="20"/>
        <v>7.692499999999991E-4</v>
      </c>
      <c r="R48" s="7">
        <f t="shared" si="6"/>
        <v>1.5651160499999984E-3</v>
      </c>
      <c r="S48" s="7">
        <f t="shared" si="7"/>
        <v>35.571224860898781</v>
      </c>
      <c r="T48" s="7">
        <f t="shared" si="8"/>
        <v>0.2143950535262972</v>
      </c>
      <c r="AC48" s="7">
        <v>7.8506400000000004E-2</v>
      </c>
      <c r="AD48" s="7">
        <v>8.3403699999999997E-2</v>
      </c>
      <c r="AE48" s="7">
        <f t="shared" si="22"/>
        <v>4.6448500000000059E-3</v>
      </c>
      <c r="AF48" s="7">
        <f t="shared" si="12"/>
        <v>3.8739767594500045E-3</v>
      </c>
      <c r="AG48" s="7">
        <f t="shared" si="13"/>
        <v>15.291257453550303</v>
      </c>
      <c r="AH48" s="7">
        <f t="shared" si="14"/>
        <v>0.29607599580034277</v>
      </c>
      <c r="AJ48" s="7">
        <v>0.2</v>
      </c>
      <c r="AK48" s="7">
        <v>0</v>
      </c>
    </row>
    <row r="49" spans="1:34" x14ac:dyDescent="0.25">
      <c r="A49" s="7">
        <v>1.17523E-2</v>
      </c>
      <c r="B49" s="7">
        <v>1.04324E-2</v>
      </c>
      <c r="C49" s="7">
        <f t="shared" si="18"/>
        <v>7.4544999999999993E-4</v>
      </c>
      <c r="D49" s="7">
        <f t="shared" si="0"/>
        <v>7.776832579999998E-5</v>
      </c>
      <c r="E49" s="7">
        <f t="shared" si="1"/>
        <v>91.503039371806125</v>
      </c>
      <c r="F49" s="7">
        <f t="shared" si="2"/>
        <v>3.9703713724122076E-2</v>
      </c>
      <c r="H49" s="7">
        <v>1.3608500000000001E-2</v>
      </c>
      <c r="I49" s="7">
        <v>7.1589799999999997E-3</v>
      </c>
      <c r="J49" s="7">
        <f t="shared" si="19"/>
        <v>7.6700000000000032E-4</v>
      </c>
      <c r="K49" s="7">
        <f t="shared" si="3"/>
        <v>5.4909376600000024E-5</v>
      </c>
      <c r="L49" s="7">
        <f t="shared" si="4"/>
        <v>41.611858965629487</v>
      </c>
      <c r="M49" s="7">
        <f t="shared" si="5"/>
        <v>2.4209593974354276E-2</v>
      </c>
      <c r="O49" s="7">
        <v>4.46154E-2</v>
      </c>
      <c r="P49" s="7">
        <v>0.176978</v>
      </c>
      <c r="Q49" s="7">
        <f t="shared" si="20"/>
        <v>7.692499999999991E-4</v>
      </c>
      <c r="R49" s="7">
        <f t="shared" si="6"/>
        <v>1.3614032649999985E-3</v>
      </c>
      <c r="S49" s="7">
        <f t="shared" si="7"/>
        <v>29.277486707571132</v>
      </c>
      <c r="T49" s="7">
        <f t="shared" si="8"/>
        <v>0.1830852035395848</v>
      </c>
      <c r="AC49" s="7">
        <v>8.5428100000000007E-2</v>
      </c>
      <c r="AD49" s="7">
        <v>2.2078299999999999E-2</v>
      </c>
      <c r="AE49" s="7">
        <f t="shared" si="22"/>
        <v>1.0837799999999995E-2</v>
      </c>
      <c r="AF49" s="7">
        <f t="shared" si="12"/>
        <v>2.3928019973999985E-3</v>
      </c>
      <c r="AG49" s="7">
        <f t="shared" si="13"/>
        <v>7.3300324651957069</v>
      </c>
      <c r="AH49" s="7">
        <f t="shared" si="14"/>
        <v>0.16805725498284513</v>
      </c>
    </row>
    <row r="50" spans="1:34" x14ac:dyDescent="0.25">
      <c r="A50" s="7">
        <v>1.25789E-2</v>
      </c>
      <c r="B50" s="7">
        <v>8.4933400000000003E-3</v>
      </c>
      <c r="C50" s="7">
        <f t="shared" si="18"/>
        <v>8.2660000000000025E-4</v>
      </c>
      <c r="D50" s="7">
        <f t="shared" si="0"/>
        <v>7.0205948440000022E-5</v>
      </c>
      <c r="E50" s="7">
        <f t="shared" si="1"/>
        <v>67.36701350288638</v>
      </c>
      <c r="F50" s="7">
        <f t="shared" si="2"/>
        <v>3.3487482263154976E-2</v>
      </c>
      <c r="H50" s="7">
        <v>1.45328E-2</v>
      </c>
      <c r="I50" s="7">
        <v>6.9771499999999997E-3</v>
      </c>
      <c r="J50" s="7">
        <f t="shared" si="19"/>
        <v>9.6364999999999992E-4</v>
      </c>
      <c r="K50" s="7">
        <f t="shared" si="3"/>
        <v>6.7235305974999992E-5</v>
      </c>
      <c r="L50" s="7">
        <f t="shared" si="4"/>
        <v>41.836069207929349</v>
      </c>
      <c r="M50" s="7">
        <f t="shared" si="5"/>
        <v>2.7758713795689751E-2</v>
      </c>
      <c r="O50" s="7">
        <v>4.5339400000000002E-2</v>
      </c>
      <c r="P50" s="7">
        <v>0.146097</v>
      </c>
      <c r="Q50" s="7">
        <f t="shared" si="20"/>
        <v>5.4300000000000181E-4</v>
      </c>
      <c r="R50" s="7">
        <f t="shared" si="6"/>
        <v>7.9330671000000272E-4</v>
      </c>
      <c r="S50" s="7">
        <f t="shared" si="7"/>
        <v>16.256056483913305</v>
      </c>
      <c r="T50" s="7">
        <f t="shared" si="8"/>
        <v>0.10498242720459504</v>
      </c>
      <c r="AC50" s="7">
        <v>0.10018199999999999</v>
      </c>
      <c r="AD50" s="7">
        <v>1.8947800000000001E-2</v>
      </c>
      <c r="AE50" s="7">
        <f t="shared" si="22"/>
        <v>1.7759449999999996E-2</v>
      </c>
      <c r="AF50" s="7">
        <f t="shared" si="12"/>
        <v>3.3650250670999994E-3</v>
      </c>
      <c r="AG50" s="7">
        <f t="shared" si="13"/>
        <v>6.3917619019510257</v>
      </c>
      <c r="AH50" s="7">
        <f t="shared" si="14"/>
        <v>0.20153471085224886</v>
      </c>
    </row>
    <row r="51" spans="1:34" x14ac:dyDescent="0.25">
      <c r="A51" s="7">
        <v>1.3405500000000001E-2</v>
      </c>
      <c r="B51" s="7">
        <v>1.0136300000000001E-2</v>
      </c>
      <c r="C51" s="7">
        <f t="shared" si="18"/>
        <v>7.8169999999999976E-4</v>
      </c>
      <c r="D51" s="7">
        <f t="shared" si="0"/>
        <v>7.9235457099999991E-5</v>
      </c>
      <c r="E51" s="7">
        <f t="shared" si="1"/>
        <v>62.816233803965744</v>
      </c>
      <c r="F51" s="7">
        <f t="shared" si="2"/>
        <v>3.5464006758420041E-2</v>
      </c>
      <c r="H51" s="7">
        <v>1.5535800000000001E-2</v>
      </c>
      <c r="I51" s="7">
        <v>6.7798499999999996E-3</v>
      </c>
      <c r="J51" s="7">
        <f t="shared" si="19"/>
        <v>8.161500000000016E-4</v>
      </c>
      <c r="K51" s="7">
        <f t="shared" si="3"/>
        <v>5.5333745775000105E-5</v>
      </c>
      <c r="L51" s="7">
        <f t="shared" si="4"/>
        <v>28.183218195946306</v>
      </c>
      <c r="M51" s="7">
        <f t="shared" si="5"/>
        <v>2.1370156326034107E-2</v>
      </c>
      <c r="O51" s="7">
        <v>4.5701400000000003E-2</v>
      </c>
      <c r="P51" s="7">
        <v>0.11523799999999999</v>
      </c>
      <c r="Q51" s="7">
        <f t="shared" si="20"/>
        <v>6.3345000000000068E-4</v>
      </c>
      <c r="R51" s="7">
        <f t="shared" si="6"/>
        <v>7.2997511100000064E-4</v>
      </c>
      <c r="S51" s="7">
        <f t="shared" si="7"/>
        <v>14.605650952770002</v>
      </c>
      <c r="T51" s="7">
        <f t="shared" si="8"/>
        <v>9.5836247160918556E-2</v>
      </c>
      <c r="AC51" s="7">
        <v>0.120947</v>
      </c>
      <c r="AD51" s="7">
        <v>2.15605E-2</v>
      </c>
      <c r="AE51" s="7">
        <f t="shared" si="22"/>
        <v>2.7049500000000018E-2</v>
      </c>
      <c r="AF51" s="7">
        <f t="shared" si="12"/>
        <v>5.8320074475000042E-3</v>
      </c>
      <c r="AG51" s="7">
        <f t="shared" si="13"/>
        <v>6.2955567936196815</v>
      </c>
      <c r="AH51" s="7">
        <f t="shared" si="14"/>
        <v>0.28931717764806097</v>
      </c>
    </row>
    <row r="52" spans="1:34" x14ac:dyDescent="0.25">
      <c r="A52" s="7">
        <v>1.41423E-2</v>
      </c>
      <c r="B52" s="7">
        <v>1.00044E-2</v>
      </c>
      <c r="C52" s="7">
        <f t="shared" si="18"/>
        <v>7.2774999999999923E-4</v>
      </c>
      <c r="D52" s="7">
        <f t="shared" si="0"/>
        <v>7.2807020999999926E-5</v>
      </c>
      <c r="E52" s="7">
        <f t="shared" si="1"/>
        <v>49.160297489261147</v>
      </c>
      <c r="F52" s="7">
        <f t="shared" si="2"/>
        <v>3.0889043932033657E-2</v>
      </c>
      <c r="H52" s="7">
        <v>1.6165100000000002E-2</v>
      </c>
      <c r="I52" s="7">
        <v>8.6232700000000006E-3</v>
      </c>
      <c r="J52" s="7">
        <f t="shared" si="19"/>
        <v>7.0794999999999886E-4</v>
      </c>
      <c r="K52" s="7">
        <f t="shared" si="3"/>
        <v>6.10484399649999E-5</v>
      </c>
      <c r="L52" s="7">
        <f t="shared" si="4"/>
        <v>27.602013338317317</v>
      </c>
      <c r="M52" s="7">
        <f t="shared" si="5"/>
        <v>2.2659348831123801E-2</v>
      </c>
      <c r="O52" s="7">
        <v>4.6606300000000003E-2</v>
      </c>
      <c r="P52" s="7">
        <v>6.9366700000000003E-2</v>
      </c>
      <c r="Q52" s="7">
        <f t="shared" si="20"/>
        <v>1.2669499999999959E-3</v>
      </c>
      <c r="R52" s="7">
        <f t="shared" si="6"/>
        <v>8.788414056499971E-4</v>
      </c>
      <c r="S52" s="7">
        <f t="shared" si="7"/>
        <v>16.579751182454345</v>
      </c>
      <c r="T52" s="7">
        <f t="shared" si="8"/>
        <v>0.11314025000697292</v>
      </c>
      <c r="AC52" s="7">
        <v>0.154281</v>
      </c>
      <c r="AD52" s="7">
        <v>1.5243700000000001E-2</v>
      </c>
      <c r="AE52" s="7">
        <f t="shared" si="22"/>
        <v>3.5337000000000007E-2</v>
      </c>
      <c r="AF52" s="7">
        <f t="shared" si="12"/>
        <v>5.3866662690000011E-3</v>
      </c>
      <c r="AG52" s="7">
        <f t="shared" si="13"/>
        <v>2.8014579744495194</v>
      </c>
      <c r="AH52" s="7">
        <f t="shared" si="14"/>
        <v>0.20948786703482616</v>
      </c>
    </row>
    <row r="53" spans="1:34" x14ac:dyDescent="0.25">
      <c r="A53" s="7">
        <v>1.4860999999999999E-2</v>
      </c>
      <c r="B53" s="7">
        <v>9.8756399999999998E-3</v>
      </c>
      <c r="C53" s="7">
        <f t="shared" si="18"/>
        <v>7.6375000000000054E-4</v>
      </c>
      <c r="D53" s="7">
        <f t="shared" si="0"/>
        <v>7.5425200500000043E-5</v>
      </c>
      <c r="E53" s="7">
        <f t="shared" si="1"/>
        <v>43.890825431312031</v>
      </c>
      <c r="F53" s="7">
        <f t="shared" si="2"/>
        <v>3.045227124688785E-2</v>
      </c>
      <c r="H53" s="7">
        <v>1.69517E-2</v>
      </c>
      <c r="I53" s="7">
        <v>6.5012999999999998E-3</v>
      </c>
      <c r="J53" s="7">
        <f t="shared" si="19"/>
        <v>8.4559999999999844E-4</v>
      </c>
      <c r="K53" s="7">
        <f t="shared" si="3"/>
        <v>5.4974992799999897E-5</v>
      </c>
      <c r="L53" s="7">
        <f t="shared" si="4"/>
        <v>21.553945733795977</v>
      </c>
      <c r="M53" s="7">
        <f t="shared" si="5"/>
        <v>1.9458222880301055E-2</v>
      </c>
      <c r="O53" s="7">
        <v>4.8235300000000002E-2</v>
      </c>
      <c r="P53" s="7">
        <v>4.1072400000000002E-2</v>
      </c>
      <c r="Q53" s="7">
        <f t="shared" si="20"/>
        <v>2.0362000000000019E-3</v>
      </c>
      <c r="R53" s="7">
        <f t="shared" si="6"/>
        <v>8.3631620880000076E-4</v>
      </c>
      <c r="S53" s="7">
        <f t="shared" si="7"/>
        <v>14.23236063346782</v>
      </c>
      <c r="T53" s="7">
        <f t="shared" si="8"/>
        <v>0.10402956450566295</v>
      </c>
      <c r="AC53" s="7">
        <v>0.19162100000000001</v>
      </c>
      <c r="AD53" s="7">
        <v>1.46994E-2</v>
      </c>
      <c r="AE53" s="7">
        <f t="shared" si="22"/>
        <v>2.2859499999999977E-2</v>
      </c>
      <c r="AF53" s="7">
        <f t="shared" si="12"/>
        <v>3.3602093429999963E-3</v>
      </c>
      <c r="AG53" s="7">
        <f t="shared" si="13"/>
        <v>0.912091494729386</v>
      </c>
      <c r="AH53" s="7">
        <f t="shared" si="14"/>
        <v>0.10521423047578281</v>
      </c>
    </row>
    <row r="54" spans="1:34" x14ac:dyDescent="0.25">
      <c r="A54" s="7">
        <v>1.5669800000000001E-2</v>
      </c>
      <c r="B54" s="7">
        <v>1.3312900000000001E-2</v>
      </c>
      <c r="C54" s="7">
        <f t="shared" si="18"/>
        <v>7.8170000000000149E-4</v>
      </c>
      <c r="D54" s="7">
        <f t="shared" si="0"/>
        <v>1.040669393000002E-4</v>
      </c>
      <c r="E54" s="7">
        <f t="shared" si="1"/>
        <v>51.656359894162648</v>
      </c>
      <c r="F54" s="7">
        <f t="shared" si="2"/>
        <v>3.9847454070888029E-2</v>
      </c>
      <c r="H54" s="7">
        <v>1.7856299999999999E-2</v>
      </c>
      <c r="I54" s="7">
        <v>1.0257799999999999E-2</v>
      </c>
      <c r="J54" s="7">
        <f t="shared" si="19"/>
        <v>8.4559999999999844E-4</v>
      </c>
      <c r="K54" s="7">
        <f t="shared" si="3"/>
        <v>8.6739956799999836E-5</v>
      </c>
      <c r="L54" s="7">
        <f t="shared" si="4"/>
        <v>29.096862233280746</v>
      </c>
      <c r="M54" s="7">
        <f t="shared" si="5"/>
        <v>2.9146001176055456E-2</v>
      </c>
      <c r="O54" s="7">
        <v>5.06787E-2</v>
      </c>
      <c r="P54" s="7">
        <v>1.8014200000000001E-2</v>
      </c>
      <c r="Q54" s="7">
        <f t="shared" si="20"/>
        <v>3.1674000000000008E-3</v>
      </c>
      <c r="R54" s="7">
        <f t="shared" si="6"/>
        <v>5.7058177080000013E-4</v>
      </c>
      <c r="S54" s="7">
        <f t="shared" si="7"/>
        <v>8.3722631920539055</v>
      </c>
      <c r="T54" s="7">
        <f t="shared" si="8"/>
        <v>6.7552850108625551E-2</v>
      </c>
      <c r="AC54" s="7">
        <v>0.2</v>
      </c>
      <c r="AD54" s="7">
        <v>0</v>
      </c>
    </row>
    <row r="55" spans="1:34" x14ac:dyDescent="0.25">
      <c r="A55" s="7">
        <v>1.6424399999999999E-2</v>
      </c>
      <c r="B55" s="7">
        <v>9.5956400000000008E-3</v>
      </c>
      <c r="C55" s="7">
        <f t="shared" si="18"/>
        <v>7.7259999999999829E-4</v>
      </c>
      <c r="D55" s="7">
        <f t="shared" si="0"/>
        <v>7.4135914639999841E-5</v>
      </c>
      <c r="E55" s="7">
        <f t="shared" si="1"/>
        <v>31.956667777385782</v>
      </c>
      <c r="F55" s="7">
        <f t="shared" si="2"/>
        <v>2.7082601972674748E-2</v>
      </c>
      <c r="H55" s="7">
        <v>1.86429E-2</v>
      </c>
      <c r="I55" s="7">
        <v>1.2070300000000001E-2</v>
      </c>
      <c r="J55" s="7">
        <f t="shared" si="19"/>
        <v>7.7675000000000313E-4</v>
      </c>
      <c r="K55" s="7">
        <f t="shared" si="3"/>
        <v>9.3756055250000391E-5</v>
      </c>
      <c r="L55" s="7">
        <f t="shared" si="4"/>
        <v>27.63505249294019</v>
      </c>
      <c r="M55" s="7">
        <f t="shared" si="5"/>
        <v>3.0174293243004167E-2</v>
      </c>
      <c r="O55" s="7">
        <v>5.4570100000000003E-2</v>
      </c>
      <c r="P55" s="7">
        <v>4.5583799999999999E-3</v>
      </c>
      <c r="Q55" s="7">
        <f t="shared" si="20"/>
        <v>4.5248999999999984E-3</v>
      </c>
      <c r="R55" s="7">
        <f t="shared" si="6"/>
        <v>2.062621366199999E-4</v>
      </c>
      <c r="S55" s="7">
        <f t="shared" si="7"/>
        <v>2.4241341011828799</v>
      </c>
      <c r="T55" s="7">
        <f t="shared" si="8"/>
        <v>2.2678588086149733E-2</v>
      </c>
    </row>
    <row r="56" spans="1:34" x14ac:dyDescent="0.25">
      <c r="A56" s="7">
        <v>1.7215000000000001E-2</v>
      </c>
      <c r="B56" s="7">
        <v>7.6629899999999997E-3</v>
      </c>
      <c r="C56" s="7">
        <f t="shared" si="18"/>
        <v>7.8160000000000035E-4</v>
      </c>
      <c r="D56" s="7">
        <f t="shared" si="0"/>
        <v>5.9893929840000025E-5</v>
      </c>
      <c r="E56" s="7">
        <f t="shared" si="1"/>
        <v>22.421419591931542</v>
      </c>
      <c r="F56" s="7">
        <f t="shared" si="2"/>
        <v>2.0875026374673259E-2</v>
      </c>
      <c r="H56" s="7">
        <v>1.9409800000000001E-2</v>
      </c>
      <c r="I56" s="7">
        <v>1.19194E-2</v>
      </c>
      <c r="J56" s="7">
        <f t="shared" si="19"/>
        <v>6.7854999999999999E-4</v>
      </c>
      <c r="K56" s="7">
        <f t="shared" si="3"/>
        <v>8.0879088699999991E-5</v>
      </c>
      <c r="L56" s="7">
        <f t="shared" si="4"/>
        <v>21.123916673860084</v>
      </c>
      <c r="M56" s="7">
        <f t="shared" si="5"/>
        <v>2.5001521509752798E-2</v>
      </c>
      <c r="O56" s="7">
        <v>5.9728499999999997E-2</v>
      </c>
      <c r="P56" s="7">
        <v>3.3591799999999998E-3</v>
      </c>
      <c r="Q56" s="7">
        <f t="shared" si="20"/>
        <v>6.6968500000000042E-3</v>
      </c>
      <c r="R56" s="7">
        <f t="shared" si="6"/>
        <v>2.2495924583000013E-4</v>
      </c>
      <c r="S56" s="7">
        <f t="shared" si="7"/>
        <v>2.0163243763915029</v>
      </c>
      <c r="T56" s="7">
        <f t="shared" si="8"/>
        <v>2.2598181353625169E-2</v>
      </c>
    </row>
    <row r="57" spans="1:34" x14ac:dyDescent="0.25">
      <c r="A57" s="7">
        <v>1.7987599999999999E-2</v>
      </c>
      <c r="B57" s="7">
        <v>7.5246000000000002E-3</v>
      </c>
      <c r="C57" s="7">
        <f t="shared" si="18"/>
        <v>7.0970000000000061E-4</v>
      </c>
      <c r="D57" s="7">
        <f t="shared" si="0"/>
        <v>5.3402086200000047E-5</v>
      </c>
      <c r="E57" s="7">
        <f t="shared" si="1"/>
        <v>17.524270050163167</v>
      </c>
      <c r="F57" s="7">
        <f t="shared" si="2"/>
        <v>1.7812966554737727E-2</v>
      </c>
      <c r="H57" s="7">
        <v>0.02</v>
      </c>
      <c r="I57" s="7">
        <v>0</v>
      </c>
      <c r="O57" s="7">
        <v>6.7963800000000005E-2</v>
      </c>
      <c r="P57" s="7">
        <v>1.97022E-3</v>
      </c>
      <c r="Q57" s="7">
        <f t="shared" si="20"/>
        <v>7.0588499999999915E-3</v>
      </c>
      <c r="R57" s="7">
        <f t="shared" si="6"/>
        <v>1.3907487446999982E-4</v>
      </c>
      <c r="S57" s="7">
        <f t="shared" si="7"/>
        <v>0.84609103757460313</v>
      </c>
      <c r="T57" s="7">
        <f t="shared" si="8"/>
        <v>1.22778486020499E-2</v>
      </c>
    </row>
    <row r="58" spans="1:34" x14ac:dyDescent="0.25">
      <c r="A58" s="7">
        <v>1.8634399999999999E-2</v>
      </c>
      <c r="B58" s="7">
        <v>3.8266699999999999E-3</v>
      </c>
      <c r="C58" s="7">
        <f t="shared" si="18"/>
        <v>7.9964999999999897E-4</v>
      </c>
      <c r="D58" s="7">
        <f t="shared" si="0"/>
        <v>3.0599966654999958E-5</v>
      </c>
      <c r="E58" s="7">
        <f t="shared" si="1"/>
        <v>9.031836973512446</v>
      </c>
      <c r="F58" s="7">
        <f t="shared" si="2"/>
        <v>9.8527347234147467E-3</v>
      </c>
      <c r="O58" s="7">
        <v>7.3846200000000001E-2</v>
      </c>
      <c r="P58" s="7">
        <v>7.2637400000000001E-4</v>
      </c>
      <c r="Q58" s="7">
        <f t="shared" si="20"/>
        <v>7.2850500000000012E-3</v>
      </c>
      <c r="R58" s="7">
        <f t="shared" si="6"/>
        <v>5.2916709087000013E-5</v>
      </c>
      <c r="S58" s="7">
        <f t="shared" si="7"/>
        <v>0.25096302965973782</v>
      </c>
      <c r="T58" s="7">
        <f t="shared" si="8"/>
        <v>4.2994799261437972E-3</v>
      </c>
    </row>
    <row r="59" spans="1:34" x14ac:dyDescent="0.25">
      <c r="A59" s="7">
        <v>1.9586900000000001E-2</v>
      </c>
      <c r="B59" s="7">
        <v>5.4471299999999997E-3</v>
      </c>
      <c r="C59" s="7">
        <f t="shared" si="18"/>
        <v>6.8280000000000077E-4</v>
      </c>
      <c r="D59" s="7">
        <f t="shared" si="0"/>
        <v>3.7193003640000039E-5</v>
      </c>
      <c r="E59" s="7">
        <f t="shared" si="1"/>
        <v>9.4529097622573381</v>
      </c>
      <c r="F59" s="7">
        <f t="shared" si="2"/>
        <v>1.139322822090276E-2</v>
      </c>
      <c r="O59" s="7">
        <v>8.2533899999999993E-2</v>
      </c>
      <c r="P59" s="7">
        <v>2.83374E-3</v>
      </c>
      <c r="Q59" s="7">
        <f t="shared" si="20"/>
        <v>8.7782500000000013E-3</v>
      </c>
      <c r="R59" s="7">
        <f t="shared" si="6"/>
        <v>2.4875278155000004E-4</v>
      </c>
      <c r="S59" s="7">
        <f t="shared" si="7"/>
        <v>0.84503018223036352</v>
      </c>
      <c r="T59" s="7">
        <f t="shared" si="8"/>
        <v>1.8083680636683839E-2</v>
      </c>
    </row>
    <row r="60" spans="1:34" x14ac:dyDescent="0.25">
      <c r="A60" s="7">
        <v>0.02</v>
      </c>
      <c r="B60" s="7">
        <v>0</v>
      </c>
      <c r="O60" s="7">
        <v>9.1402700000000003E-2</v>
      </c>
      <c r="P60" s="7">
        <v>5.2464799999999995E-4</v>
      </c>
      <c r="Q60" s="7">
        <f t="shared" si="20"/>
        <v>8.0995500000000109E-3</v>
      </c>
      <c r="R60" s="7">
        <f t="shared" si="6"/>
        <v>4.2494127084000052E-5</v>
      </c>
      <c r="S60" s="7">
        <f t="shared" ref="S60:S61" si="24">R60/(PI()/6*POWER(O60,3))</f>
        <v>0.10628040865362259</v>
      </c>
      <c r="T60" s="7">
        <f t="shared" ref="T60:T61" si="25">S60*PI()*POWER(O60,2)</f>
        <v>2.7894664217140222E-3</v>
      </c>
    </row>
    <row r="61" spans="1:34" x14ac:dyDescent="0.25">
      <c r="O61" s="7">
        <v>9.8733000000000001E-2</v>
      </c>
      <c r="P61" s="7">
        <v>7.2557699999999998E-5</v>
      </c>
      <c r="Q61" s="7">
        <f t="shared" si="20"/>
        <v>4.2986499999999872E-3</v>
      </c>
      <c r="R61" s="7">
        <f t="shared" si="6"/>
        <v>3.119001571049991E-6</v>
      </c>
      <c r="S61" s="7">
        <f t="shared" si="24"/>
        <v>6.1891352232447683E-3</v>
      </c>
      <c r="T61" s="7">
        <f t="shared" si="25"/>
        <v>1.8954158615964217E-4</v>
      </c>
    </row>
    <row r="62" spans="1:34" x14ac:dyDescent="0.25">
      <c r="O62" s="7">
        <v>0.1</v>
      </c>
      <c r="P62" s="7">
        <v>0</v>
      </c>
    </row>
    <row r="65" spans="3:41" x14ac:dyDescent="0.25">
      <c r="C65" s="9" t="s">
        <v>9</v>
      </c>
      <c r="D65" s="7">
        <f t="shared" ref="D65:F65" si="26">SUM(D4:D64)</f>
        <v>3.0608274020557869E-2</v>
      </c>
      <c r="E65" s="7">
        <f t="shared" si="26"/>
        <v>349033.82381866768</v>
      </c>
      <c r="F65" s="7">
        <f t="shared" si="26"/>
        <v>26.847861122992974</v>
      </c>
      <c r="J65" s="9" t="s">
        <v>9</v>
      </c>
      <c r="K65" s="7">
        <f t="shared" ref="K65:M65" si="27">SUM(K4:K64)</f>
        <v>2.8544560651380644E-2</v>
      </c>
      <c r="L65" s="7">
        <f t="shared" si="27"/>
        <v>21448044.427495293</v>
      </c>
      <c r="M65" s="7">
        <f t="shared" si="27"/>
        <v>29.281043711387088</v>
      </c>
      <c r="Q65" s="9" t="s">
        <v>9</v>
      </c>
      <c r="R65" s="7">
        <f t="shared" ref="R65:T65" si="28">SUM(R4:R64)</f>
        <v>9.7827444889736812E-2</v>
      </c>
      <c r="S65" s="7">
        <f t="shared" si="28"/>
        <v>360976.23551600531</v>
      </c>
      <c r="T65" s="7">
        <f t="shared" si="28"/>
        <v>26.314537556697868</v>
      </c>
      <c r="X65" s="9" t="s">
        <v>9</v>
      </c>
      <c r="Y65" s="7">
        <f t="shared" ref="Y65:AA65" si="29">SUM(Y4:Y64)</f>
        <v>0.12233848226272807</v>
      </c>
      <c r="Z65" s="7">
        <f t="shared" si="29"/>
        <v>15012858.170121364</v>
      </c>
      <c r="AA65" s="7">
        <f t="shared" si="29"/>
        <v>111.71607334643925</v>
      </c>
      <c r="AE65" s="9" t="s">
        <v>9</v>
      </c>
      <c r="AF65" s="7">
        <f t="shared" ref="AF65:AH65" si="30">SUM(AF4:AF64)</f>
        <v>0.58183980656874001</v>
      </c>
      <c r="AG65" s="7">
        <f t="shared" si="30"/>
        <v>2840541.6486702934</v>
      </c>
      <c r="AH65" s="7">
        <f t="shared" si="30"/>
        <v>176.89528832264796</v>
      </c>
      <c r="AL65" s="9" t="s">
        <v>9</v>
      </c>
      <c r="AM65" s="7">
        <f t="shared" ref="AM65:AO65" si="31">SUM(AM4:AM64)</f>
        <v>0.2389533055457316</v>
      </c>
      <c r="AN65" s="7">
        <f t="shared" si="31"/>
        <v>6532081.5734647205</v>
      </c>
      <c r="AO65" s="7">
        <f t="shared" si="31"/>
        <v>154.3731939402864</v>
      </c>
    </row>
    <row r="67" spans="3:41" x14ac:dyDescent="0.25">
      <c r="E67" s="9" t="s">
        <v>17</v>
      </c>
      <c r="F67" s="7">
        <f>D65/F65</f>
        <v>1.1400637793952389E-3</v>
      </c>
      <c r="L67" s="9" t="s">
        <v>17</v>
      </c>
      <c r="M67" s="7">
        <f>K65/M65</f>
        <v>9.7484778659990071E-4</v>
      </c>
      <c r="S67" s="9" t="s">
        <v>17</v>
      </c>
      <c r="T67" s="7">
        <f>R65/T65</f>
        <v>3.7176197635605678E-3</v>
      </c>
      <c r="Z67" s="9" t="s">
        <v>17</v>
      </c>
      <c r="AA67" s="7">
        <f>Y65/AA65</f>
        <v>1.0950839802912513E-3</v>
      </c>
      <c r="AG67" s="9" t="s">
        <v>17</v>
      </c>
      <c r="AH67" s="7">
        <f>AF65/AH65</f>
        <v>3.2891763940455778E-3</v>
      </c>
      <c r="AN67" s="9" t="s">
        <v>17</v>
      </c>
      <c r="AO67" s="7">
        <f>AM65/AO65</f>
        <v>1.5478937725299765E-3</v>
      </c>
    </row>
    <row r="68" spans="3:41" x14ac:dyDescent="0.25">
      <c r="E68" s="9" t="s">
        <v>19</v>
      </c>
      <c r="F68" s="7">
        <f>POWER(6*D65/(E65*PI()),0.333333333)</f>
        <v>5.5121907335189601E-3</v>
      </c>
      <c r="L68" s="9" t="s">
        <v>19</v>
      </c>
      <c r="M68" s="7">
        <f>POWER(6*K65/(L65*PI()),0.333333333)</f>
        <v>1.3647266828323652E-3</v>
      </c>
      <c r="S68" s="9" t="s">
        <v>19</v>
      </c>
      <c r="T68" s="7">
        <f>POWER(6*R65/(S65*PI()),0.333333333)</f>
        <v>8.0289945106410427E-3</v>
      </c>
      <c r="Z68" s="9" t="s">
        <v>19</v>
      </c>
      <c r="AA68" s="7">
        <f>POWER(6*Y65/(Z65*PI()),0.333333333)</f>
        <v>2.4967038484419767E-3</v>
      </c>
      <c r="AG68" s="9" t="s">
        <v>19</v>
      </c>
      <c r="AH68" s="7">
        <f>POWER(6*AF65/(AG65*PI()),0.333333333)</f>
        <v>7.3136563646562531E-3</v>
      </c>
      <c r="AN68" s="9" t="s">
        <v>19</v>
      </c>
      <c r="AO68" s="7">
        <f>POWER(6*AM65/(AN65*PI()),0.333333333)</f>
        <v>4.1186442006852456E-3</v>
      </c>
    </row>
    <row r="69" spans="3:41" x14ac:dyDescent="0.25">
      <c r="E69" s="9" t="s">
        <v>18</v>
      </c>
      <c r="F69" s="7">
        <f>SQRT(-LOG(F65/(PI()*E65*POWER(F68,2))))</f>
        <v>0.30619629087804989</v>
      </c>
      <c r="L69" s="9" t="s">
        <v>18</v>
      </c>
      <c r="M69" s="7">
        <f>SQRT(-LOG(M65/(PI()*L65*POWER(M68,2))))</f>
        <v>0.79501093456091776</v>
      </c>
      <c r="S69" s="9" t="s">
        <v>18</v>
      </c>
      <c r="T69" s="7">
        <f>SQRT(-LOG(T65/(PI()*S65*POWER(T68,2))))</f>
        <v>0.66614943064237042</v>
      </c>
      <c r="Z69" s="9" t="s">
        <v>18</v>
      </c>
      <c r="AA69" s="7">
        <f>SQRT(-LOG(AA65/(PI()*Z65*POWER(AA68,2))))</f>
        <v>0.64825276962269274</v>
      </c>
      <c r="AG69" s="9" t="s">
        <v>18</v>
      </c>
      <c r="AH69" s="7">
        <f>SQRT(-LOG(AH65/(PI()*AG65*POWER(AH68,2))))</f>
        <v>0.65658500634283368</v>
      </c>
      <c r="AN69" s="9" t="s">
        <v>18</v>
      </c>
      <c r="AO69" s="7">
        <f>SQRT(-LOG(AO65/(PI()*AN65*POWER(AO68,2))))</f>
        <v>0.59425426760496325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Void</vt:lpstr>
      <vt:lpstr>Size</vt:lpstr>
    </vt:vector>
  </TitlesOfParts>
  <Company>NRG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Frederix, E.M.A. (Edo)</dc:creator>
  <cp:lastModifiedBy>Frederix, E.M.A. (Edo)</cp:lastModifiedBy>
  <dcterms:created xsi:type="dcterms:W3CDTF">2024-02-21T16:48:19Z</dcterms:created>
  <dcterms:modified xsi:type="dcterms:W3CDTF">2024-03-07T10:23:05Z</dcterms:modified>
</cp:coreProperties>
</file>